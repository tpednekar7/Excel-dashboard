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tejal pednekar\Downloads\"/>
    </mc:Choice>
  </mc:AlternateContent>
  <xr:revisionPtr revIDLastSave="0" documentId="13_ncr:1_{71005DE7-D262-4F51-BF7E-9B1FCD419B29}" xr6:coauthVersionLast="47" xr6:coauthVersionMax="47" xr10:uidLastSave="{00000000-0000-0000-0000-000000000000}"/>
  <bookViews>
    <workbookView xWindow="-110" yWindow="-110" windowWidth="19420" windowHeight="10300" activeTab="1" xr2:uid="{00000000-000D-0000-FFFF-FFFF00000000}"/>
  </bookViews>
  <sheets>
    <sheet name="Pivot tables" sheetId="5" r:id="rId1"/>
    <sheet name="Dashboards" sheetId="6" r:id="rId2"/>
    <sheet name="Sales Data" sheetId="1" r:id="rId3"/>
  </sheets>
  <definedNames>
    <definedName name="_xlnm._FilterDatabase" localSheetId="2" hidden="1">'Sales Data'!$A$1:$I$151</definedName>
    <definedName name="Slicer_Month">#N/A</definedName>
  </definedNames>
  <calcPr calcId="191029"/>
  <pivotCaches>
    <pivotCache cacheId="2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I136" i="1" l="1"/>
  <c r="I137" i="1"/>
  <c r="I138" i="1"/>
  <c r="I139" i="1"/>
  <c r="I140" i="1"/>
  <c r="I141" i="1"/>
  <c r="I142" i="1"/>
  <c r="I143" i="1"/>
  <c r="I144" i="1"/>
  <c r="I145" i="1"/>
  <c r="I146" i="1"/>
  <c r="I147" i="1"/>
  <c r="I148" i="1"/>
  <c r="I149" i="1"/>
  <c r="I150" i="1"/>
  <c r="I151"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3" i="1"/>
  <c r="I4" i="1"/>
  <c r="I5" i="1"/>
  <c r="I6" i="1"/>
  <c r="I7" i="1"/>
  <c r="I8" i="1"/>
  <c r="I9" i="1"/>
  <c r="I10" i="1"/>
  <c r="I11" i="1"/>
  <c r="I12" i="1"/>
  <c r="I13" i="1"/>
  <c r="I14" i="1"/>
  <c r="I15" i="1"/>
  <c r="I16" i="1"/>
  <c r="I17" i="1"/>
  <c r="I2" i="1"/>
</calcChain>
</file>

<file path=xl/sharedStrings.xml><?xml version="1.0" encoding="utf-8"?>
<sst xmlns="http://schemas.openxmlformats.org/spreadsheetml/2006/main" count="660" uniqueCount="48">
  <si>
    <t>Date</t>
  </si>
  <si>
    <t>Product</t>
  </si>
  <si>
    <t>Category</t>
  </si>
  <si>
    <t>Sales Rep</t>
  </si>
  <si>
    <t>City</t>
  </si>
  <si>
    <t>No.of Units</t>
  </si>
  <si>
    <t>Price</t>
  </si>
  <si>
    <t>Amount</t>
  </si>
  <si>
    <t>OnePlus 8 Pro</t>
  </si>
  <si>
    <t>Phone</t>
  </si>
  <si>
    <t>Tara</t>
  </si>
  <si>
    <t>Bangalore</t>
  </si>
  <si>
    <t>Kate</t>
  </si>
  <si>
    <t>Mumbai</t>
  </si>
  <si>
    <t>iPhone 11 Pro</t>
  </si>
  <si>
    <t>Laxmi</t>
  </si>
  <si>
    <t>Hyderabad</t>
  </si>
  <si>
    <t>HP Envy x360</t>
  </si>
  <si>
    <t>Laptop</t>
  </si>
  <si>
    <t>Amar</t>
  </si>
  <si>
    <t>Asif</t>
  </si>
  <si>
    <t>Cochin</t>
  </si>
  <si>
    <t>Giana</t>
  </si>
  <si>
    <t>Apple AirPods Pro</t>
  </si>
  <si>
    <t>Headphone</t>
  </si>
  <si>
    <t>Dell XPS 13</t>
  </si>
  <si>
    <t>Aryan</t>
  </si>
  <si>
    <t>Delhi</t>
  </si>
  <si>
    <t>Krish</t>
  </si>
  <si>
    <t>OnePlus Buds</t>
  </si>
  <si>
    <t>Leila</t>
  </si>
  <si>
    <t>Bruce</t>
  </si>
  <si>
    <t>Row Labels</t>
  </si>
  <si>
    <t>Grand Total</t>
  </si>
  <si>
    <t>Sum of Amount</t>
  </si>
  <si>
    <t>Month</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</si>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</sst>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Arial"/>
    </font>
    <font>
      <sz val="10"/>
      <name val="Arial"/>
    </font>
    <font>
      <b/>
      <sz val="11"/>
      <color rgb="FF000000"/>
      <name val="Arial"/>
      <family val="2"/>
    </font>
  </fonts>
  <fills count="4">
    <fill>
      <patternFill patternType="none"/>
    </fill>
    <fill>
      <patternFill patternType="gray125"/>
    </fill>
    <fill>
      <patternFill patternType="solid">
        <fgColor rgb="FFBDD7EE"/>
      </patternFill>
    </fill>
    <fill>
      <patternFill patternType="solid">
        <fgColor theme="6" tint="0.7999816888943144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0" fillId="0" borderId="0" xfId="0" pivotButton="1"/>
    <xf numFmtId="0" fontId="0" fillId="0" borderId="0" xfId="0" applyAlignment="1">
      <alignment horizontal="left"/>
    </xf>
    <xf numFmtId="3" fontId="0" fillId="0" borderId="0" xfId="0" applyNumberFormat="1"/>
    <xf numFmtId="14" fontId="1" fillId="2"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14" fontId="2" fillId="3" borderId="1" xfId="0" applyNumberFormat="1" applyFont="1" applyFill="1" applyBorder="1" applyAlignment="1">
      <alignment horizontal="left"/>
    </xf>
    <xf numFmtId="0" fontId="2" fillId="3" borderId="1" xfId="0" applyFont="1" applyFill="1" applyBorder="1" applyAlignment="1">
      <alignment horizontal="left"/>
    </xf>
    <xf numFmtId="0" fontId="2" fillId="3" borderId="1" xfId="0" applyFont="1" applyFill="1" applyBorder="1" applyAlignment="1">
      <alignment horizontal="right"/>
    </xf>
    <xf numFmtId="0" fontId="2" fillId="3" borderId="4" xfId="0" applyFont="1" applyFill="1" applyBorder="1" applyAlignment="1">
      <alignment horizontal="right"/>
    </xf>
    <xf numFmtId="0" fontId="0" fillId="3" borderId="3"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tables'!$A$4:$A$9</c:f>
              <c:strCache>
                <c:ptCount val="5"/>
                <c:pt idx="0">
                  <c:v>Bangalore</c:v>
                </c:pt>
                <c:pt idx="1">
                  <c:v>Cochin</c:v>
                </c:pt>
                <c:pt idx="2">
                  <c:v>Delhi</c:v>
                </c:pt>
                <c:pt idx="3">
                  <c:v>Hyderabad</c:v>
                </c:pt>
                <c:pt idx="4">
                  <c:v>Mumbai</c:v>
                </c:pt>
              </c:strCache>
            </c:strRef>
          </c:cat>
          <c:val>
            <c:numRef>
              <c:f>'Pivot tables'!$B$4:$B$9</c:f>
              <c:numCache>
                <c:formatCode>#,##0</c:formatCode>
                <c:ptCount val="5"/>
                <c:pt idx="0">
                  <c:v>949830</c:v>
                </c:pt>
                <c:pt idx="1">
                  <c:v>824984</c:v>
                </c:pt>
                <c:pt idx="2">
                  <c:v>672037</c:v>
                </c:pt>
                <c:pt idx="3">
                  <c:v>748446</c:v>
                </c:pt>
                <c:pt idx="4">
                  <c:v>654225</c:v>
                </c:pt>
              </c:numCache>
            </c:numRef>
          </c:val>
          <c:smooth val="0"/>
          <c:extLst>
            <c:ext xmlns:c16="http://schemas.microsoft.com/office/drawing/2014/chart" uri="{C3380CC4-5D6E-409C-BE32-E72D297353CC}">
              <c16:uniqueId val="{00000000-9066-4EF2-BAE8-335AA4E2BBE2}"/>
            </c:ext>
          </c:extLst>
        </c:ser>
        <c:dLbls>
          <c:dLblPos val="t"/>
          <c:showLegendKey val="0"/>
          <c:showVal val="1"/>
          <c:showCatName val="0"/>
          <c:showSerName val="0"/>
          <c:showPercent val="0"/>
          <c:showBubbleSize val="0"/>
        </c:dLbls>
        <c:marker val="1"/>
        <c:smooth val="0"/>
        <c:axId val="615829632"/>
        <c:axId val="615830592"/>
      </c:lineChart>
      <c:catAx>
        <c:axId val="6158296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5830592"/>
        <c:crosses val="autoZero"/>
        <c:auto val="1"/>
        <c:lblAlgn val="ctr"/>
        <c:lblOffset val="100"/>
        <c:noMultiLvlLbl val="0"/>
      </c:catAx>
      <c:valAx>
        <c:axId val="615830592"/>
        <c:scaling>
          <c:orientation val="minMax"/>
        </c:scaling>
        <c:delete val="1"/>
        <c:axPos val="l"/>
        <c:numFmt formatCode="#,##0" sourceLinked="1"/>
        <c:majorTickMark val="none"/>
        <c:minorTickMark val="none"/>
        <c:tickLblPos val="nextTo"/>
        <c:crossAx val="61582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tables'!$D$4:$D$10</c:f>
              <c:strCache>
                <c:ptCount val="6"/>
                <c:pt idx="0">
                  <c:v>Apple AirPods Pro</c:v>
                </c:pt>
                <c:pt idx="1">
                  <c:v>Dell XPS 13</c:v>
                </c:pt>
                <c:pt idx="2">
                  <c:v>HP Envy x360</c:v>
                </c:pt>
                <c:pt idx="3">
                  <c:v>iPhone 11 Pro</c:v>
                </c:pt>
                <c:pt idx="4">
                  <c:v>OnePlus 8 Pro</c:v>
                </c:pt>
                <c:pt idx="5">
                  <c:v>OnePlus Buds</c:v>
                </c:pt>
              </c:strCache>
            </c:strRef>
          </c:cat>
          <c:val>
            <c:numRef>
              <c:f>'Pivot tables'!$E$4:$E$10</c:f>
              <c:numCache>
                <c:formatCode>#,##0</c:formatCode>
                <c:ptCount val="6"/>
                <c:pt idx="0">
                  <c:v>235305</c:v>
                </c:pt>
                <c:pt idx="1">
                  <c:v>1314657</c:v>
                </c:pt>
                <c:pt idx="2">
                  <c:v>825120</c:v>
                </c:pt>
                <c:pt idx="3">
                  <c:v>957600</c:v>
                </c:pt>
                <c:pt idx="4">
                  <c:v>490590</c:v>
                </c:pt>
                <c:pt idx="5">
                  <c:v>26250</c:v>
                </c:pt>
              </c:numCache>
            </c:numRef>
          </c:val>
          <c:extLst>
            <c:ext xmlns:c16="http://schemas.microsoft.com/office/drawing/2014/chart" uri="{C3380CC4-5D6E-409C-BE32-E72D297353CC}">
              <c16:uniqueId val="{00000000-F27F-43AB-8400-EA916B908D8D}"/>
            </c:ext>
          </c:extLst>
        </c:ser>
        <c:dLbls>
          <c:dLblPos val="outEnd"/>
          <c:showLegendKey val="0"/>
          <c:showVal val="1"/>
          <c:showCatName val="0"/>
          <c:showSerName val="0"/>
          <c:showPercent val="0"/>
          <c:showBubbleSize val="0"/>
        </c:dLbls>
        <c:gapWidth val="100"/>
        <c:overlap val="-24"/>
        <c:axId val="615847872"/>
        <c:axId val="615840192"/>
      </c:barChart>
      <c:catAx>
        <c:axId val="6158478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5840192"/>
        <c:crosses val="autoZero"/>
        <c:auto val="1"/>
        <c:lblAlgn val="ctr"/>
        <c:lblOffset val="100"/>
        <c:noMultiLvlLbl val="0"/>
      </c:catAx>
      <c:valAx>
        <c:axId val="615840192"/>
        <c:scaling>
          <c:orientation val="minMax"/>
        </c:scaling>
        <c:delete val="1"/>
        <c:axPos val="l"/>
        <c:numFmt formatCode="#,##0" sourceLinked="1"/>
        <c:majorTickMark val="none"/>
        <c:minorTickMark val="none"/>
        <c:tickLblPos val="nextTo"/>
        <c:crossAx val="61584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Sales rep</a:t>
            </a:r>
          </a:p>
        </c:rich>
      </c:tx>
      <c:layout>
        <c:manualLayout>
          <c:xMode val="edge"/>
          <c:yMode val="edge"/>
          <c:x val="0.22999238765849137"/>
          <c:y val="1.186943620178041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tables'!$J$4:$J$14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 tables'!$K$4:$K$14</c:f>
              <c:numCache>
                <c:formatCode>#,##0</c:formatCode>
                <c:ptCount val="10"/>
                <c:pt idx="0">
                  <c:v>544851</c:v>
                </c:pt>
                <c:pt idx="1">
                  <c:v>338236</c:v>
                </c:pt>
                <c:pt idx="2">
                  <c:v>299444</c:v>
                </c:pt>
                <c:pt idx="3">
                  <c:v>382945</c:v>
                </c:pt>
                <c:pt idx="4">
                  <c:v>525540</c:v>
                </c:pt>
                <c:pt idx="5">
                  <c:v>242042</c:v>
                </c:pt>
                <c:pt idx="6">
                  <c:v>412183</c:v>
                </c:pt>
                <c:pt idx="7">
                  <c:v>203595</c:v>
                </c:pt>
                <c:pt idx="8">
                  <c:v>333801</c:v>
                </c:pt>
                <c:pt idx="9">
                  <c:v>566885</c:v>
                </c:pt>
              </c:numCache>
            </c:numRef>
          </c:val>
          <c:extLst>
            <c:ext xmlns:c16="http://schemas.microsoft.com/office/drawing/2014/chart" uri="{C3380CC4-5D6E-409C-BE32-E72D297353CC}">
              <c16:uniqueId val="{00000000-D05E-49CC-9955-874CCC105641}"/>
            </c:ext>
          </c:extLst>
        </c:ser>
        <c:dLbls>
          <c:dLblPos val="outEnd"/>
          <c:showLegendKey val="0"/>
          <c:showVal val="1"/>
          <c:showCatName val="0"/>
          <c:showSerName val="0"/>
          <c:showPercent val="0"/>
          <c:showBubbleSize val="0"/>
        </c:dLbls>
        <c:gapWidth val="115"/>
        <c:overlap val="-20"/>
        <c:axId val="615817152"/>
        <c:axId val="615825792"/>
      </c:barChart>
      <c:catAx>
        <c:axId val="6158171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5825792"/>
        <c:crosses val="autoZero"/>
        <c:auto val="1"/>
        <c:lblAlgn val="ctr"/>
        <c:lblOffset val="100"/>
        <c:noMultiLvlLbl val="0"/>
      </c:catAx>
      <c:valAx>
        <c:axId val="615825792"/>
        <c:scaling>
          <c:orientation val="minMax"/>
        </c:scaling>
        <c:delete val="1"/>
        <c:axPos val="b"/>
        <c:numFmt formatCode="#,##0" sourceLinked="1"/>
        <c:majorTickMark val="none"/>
        <c:minorTickMark val="none"/>
        <c:tickLblPos val="nextTo"/>
        <c:crossAx val="61581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Category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4201924748331697"/>
              <c:y val="0.182010234697868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00531751712854E-2"/>
              <c:y val="3.68689207966651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tables'!$H$3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865-4DCD-8B3B-D6DB24AF843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865-4DCD-8B3B-D6DB24AF843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865-4DCD-8B3B-D6DB24AF8430}"/>
              </c:ext>
            </c:extLst>
          </c:dPt>
          <c:dLbls>
            <c:dLbl>
              <c:idx val="0"/>
              <c:layout>
                <c:manualLayout>
                  <c:x val="0.34201924748331697"/>
                  <c:y val="0.1820102346978685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65-4DCD-8B3B-D6DB24AF8430}"/>
                </c:ext>
              </c:extLst>
            </c:dLbl>
            <c:dLbl>
              <c:idx val="2"/>
              <c:layout>
                <c:manualLayout>
                  <c:x val="2.800531751712854E-2"/>
                  <c:y val="3.6868920796665123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65-4DCD-8B3B-D6DB24AF84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tables'!$G$4:$G$7</c:f>
              <c:strCache>
                <c:ptCount val="3"/>
                <c:pt idx="0">
                  <c:v>Headphone</c:v>
                </c:pt>
                <c:pt idx="1">
                  <c:v>Laptop</c:v>
                </c:pt>
                <c:pt idx="2">
                  <c:v>Phone</c:v>
                </c:pt>
              </c:strCache>
            </c:strRef>
          </c:cat>
          <c:val>
            <c:numRef>
              <c:f>'Pivot tables'!$H$4:$H$7</c:f>
              <c:numCache>
                <c:formatCode>#,##0</c:formatCode>
                <c:ptCount val="3"/>
                <c:pt idx="0">
                  <c:v>261555</c:v>
                </c:pt>
                <c:pt idx="1">
                  <c:v>2139777</c:v>
                </c:pt>
                <c:pt idx="2">
                  <c:v>1448190</c:v>
                </c:pt>
              </c:numCache>
            </c:numRef>
          </c:val>
          <c:extLst>
            <c:ext xmlns:c16="http://schemas.microsoft.com/office/drawing/2014/chart" uri="{C3380CC4-5D6E-409C-BE32-E72D297353CC}">
              <c16:uniqueId val="{00000006-C865-4DCD-8B3B-D6DB24AF843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tables!PivotTable11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tables'!$D$14:$D$26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tables'!$E$14:$E$26</c:f>
              <c:numCache>
                <c:formatCode>#,##0</c:formatCode>
                <c:ptCount val="12"/>
                <c:pt idx="0">
                  <c:v>306943</c:v>
                </c:pt>
                <c:pt idx="1">
                  <c:v>418296</c:v>
                </c:pt>
                <c:pt idx="2">
                  <c:v>282903</c:v>
                </c:pt>
                <c:pt idx="3">
                  <c:v>359866</c:v>
                </c:pt>
                <c:pt idx="4">
                  <c:v>632108</c:v>
                </c:pt>
                <c:pt idx="5">
                  <c:v>190485</c:v>
                </c:pt>
                <c:pt idx="6">
                  <c:v>325610</c:v>
                </c:pt>
                <c:pt idx="7">
                  <c:v>170530</c:v>
                </c:pt>
                <c:pt idx="8">
                  <c:v>151725</c:v>
                </c:pt>
                <c:pt idx="9">
                  <c:v>327929</c:v>
                </c:pt>
                <c:pt idx="10">
                  <c:v>383724</c:v>
                </c:pt>
                <c:pt idx="11">
                  <c:v>299403</c:v>
                </c:pt>
              </c:numCache>
            </c:numRef>
          </c:val>
          <c:extLst>
            <c:ext xmlns:c16="http://schemas.microsoft.com/office/drawing/2014/chart" uri="{C3380CC4-5D6E-409C-BE32-E72D297353CC}">
              <c16:uniqueId val="{00000000-A2A7-4EAF-B51B-CBC6CBB38363}"/>
            </c:ext>
          </c:extLst>
        </c:ser>
        <c:dLbls>
          <c:dLblPos val="outEnd"/>
          <c:showLegendKey val="0"/>
          <c:showVal val="1"/>
          <c:showCatName val="0"/>
          <c:showSerName val="0"/>
          <c:showPercent val="0"/>
          <c:showBubbleSize val="0"/>
        </c:dLbls>
        <c:gapWidth val="182"/>
        <c:overlap val="-50"/>
        <c:axId val="615822912"/>
        <c:axId val="615823392"/>
      </c:barChart>
      <c:catAx>
        <c:axId val="615822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5823392"/>
        <c:crosses val="autoZero"/>
        <c:auto val="1"/>
        <c:lblAlgn val="ctr"/>
        <c:lblOffset val="100"/>
        <c:noMultiLvlLbl val="0"/>
      </c:catAx>
      <c:valAx>
        <c:axId val="615823392"/>
        <c:scaling>
          <c:orientation val="minMax"/>
        </c:scaling>
        <c:delete val="1"/>
        <c:axPos val="b"/>
        <c:numFmt formatCode="#,##0" sourceLinked="1"/>
        <c:majorTickMark val="none"/>
        <c:minorTickMark val="none"/>
        <c:tickLblPos val="nextTo"/>
        <c:crossAx val="61582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25400</xdr:colOff>
      <xdr:row>0</xdr:row>
      <xdr:rowOff>1</xdr:rowOff>
    </xdr:from>
    <xdr:to>
      <xdr:col>9</xdr:col>
      <xdr:colOff>396875</xdr:colOff>
      <xdr:row>9</xdr:row>
      <xdr:rowOff>39688</xdr:rowOff>
    </xdr:to>
    <xdr:graphicFrame macro="">
      <xdr:nvGraphicFramePr>
        <xdr:cNvPr id="2" name="Chart 1">
          <a:extLst>
            <a:ext uri="{FF2B5EF4-FFF2-40B4-BE49-F238E27FC236}">
              <a16:creationId xmlns:a16="http://schemas.microsoft.com/office/drawing/2014/main" id="{FBF984FF-E3AA-4002-8C7E-F3ABFAED4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49213</xdr:colOff>
      <xdr:row>9</xdr:row>
      <xdr:rowOff>98425</xdr:rowOff>
    </xdr:from>
    <xdr:to>
      <xdr:col>9</xdr:col>
      <xdr:colOff>404812</xdr:colOff>
      <xdr:row>20</xdr:row>
      <xdr:rowOff>49213</xdr:rowOff>
    </xdr:to>
    <xdr:graphicFrame macro="">
      <xdr:nvGraphicFramePr>
        <xdr:cNvPr id="3" name="Chart 2">
          <a:extLst>
            <a:ext uri="{FF2B5EF4-FFF2-40B4-BE49-F238E27FC236}">
              <a16:creationId xmlns:a16="http://schemas.microsoft.com/office/drawing/2014/main" id="{478FA829-E916-4860-9F5A-539A33CE7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0</xdr:row>
      <xdr:rowOff>0</xdr:rowOff>
    </xdr:from>
    <xdr:to>
      <xdr:col>16</xdr:col>
      <xdr:colOff>155223</xdr:colOff>
      <xdr:row>19</xdr:row>
      <xdr:rowOff>7056</xdr:rowOff>
    </xdr:to>
    <xdr:graphicFrame macro="">
      <xdr:nvGraphicFramePr>
        <xdr:cNvPr id="4" name="Chart 3">
          <a:extLst>
            <a:ext uri="{FF2B5EF4-FFF2-40B4-BE49-F238E27FC236}">
              <a16:creationId xmlns:a16="http://schemas.microsoft.com/office/drawing/2014/main" id="{A10F7381-BB2B-47AB-B60E-6EBED3121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xdr:row>
      <xdr:rowOff>19050</xdr:rowOff>
    </xdr:from>
    <xdr:to>
      <xdr:col>4</xdr:col>
      <xdr:colOff>6350</xdr:colOff>
      <xdr:row>20</xdr:row>
      <xdr:rowOff>12700</xdr:rowOff>
    </xdr:to>
    <xdr:graphicFrame macro="">
      <xdr:nvGraphicFramePr>
        <xdr:cNvPr id="5" name="Chart 4">
          <a:extLst>
            <a:ext uri="{FF2B5EF4-FFF2-40B4-BE49-F238E27FC236}">
              <a16:creationId xmlns:a16="http://schemas.microsoft.com/office/drawing/2014/main" id="{1CE45B5B-9B5E-4A66-BA06-7C8DB39C7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44450</xdr:colOff>
      <xdr:row>0</xdr:row>
      <xdr:rowOff>38101</xdr:rowOff>
    </xdr:from>
    <xdr:to>
      <xdr:col>3</xdr:col>
      <xdr:colOff>450850</xdr:colOff>
      <xdr:row>8</xdr:row>
      <xdr:rowOff>44451</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83BCDD88-E7BF-F86B-66E3-F68DD7907EC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4450" y="38101"/>
              <a:ext cx="2226733" cy="1473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202671</xdr:colOff>
      <xdr:row>0</xdr:row>
      <xdr:rowOff>28223</xdr:rowOff>
    </xdr:from>
    <xdr:to>
      <xdr:col>23</xdr:col>
      <xdr:colOff>46743</xdr:colOff>
      <xdr:row>18</xdr:row>
      <xdr:rowOff>127000</xdr:rowOff>
    </xdr:to>
    <xdr:graphicFrame macro="">
      <xdr:nvGraphicFramePr>
        <xdr:cNvPr id="7" name="Chart 6">
          <a:extLst>
            <a:ext uri="{FF2B5EF4-FFF2-40B4-BE49-F238E27FC236}">
              <a16:creationId xmlns:a16="http://schemas.microsoft.com/office/drawing/2014/main" id="{13148506-FA05-429E-BC02-1852818C2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l pednekar" refreshedDate="46168.641687384261" createdVersion="8" refreshedVersion="8" minRefreshableVersion="3" recordCount="150" xr:uid="{98DCCA4A-DAC4-4BB3-A157-08765676ABF8}">
  <cacheSource type="worksheet">
    <worksheetSource ref="A1:I151" sheet="Sales Data"/>
  </cacheSource>
  <cacheFields count="9">
    <cacheField name="Date" numFmtId="14">
      <sharedItems containsSemiMixedTypes="0" containsNonDate="0" containsDate="1" containsString="0" minDate="2021-01-01T00:00:00" maxDate="2021-12-28T00:00:00"/>
    </cacheField>
    <cacheField name="Product" numFmtId="0">
      <sharedItems count="6">
        <s v="OnePlus 8 Pro"/>
        <s v="iPhone 11 Pro"/>
        <s v="HP Envy x360"/>
        <s v="Apple AirPods Pro"/>
        <s v="Dell XPS 13"/>
        <s v="OnePlus Buds"/>
      </sharedItems>
    </cacheField>
    <cacheField name="Category" numFmtId="0">
      <sharedItems count="3">
        <s v="Phone"/>
        <s v="Laptop"/>
        <s v="Headphone"/>
      </sharedItems>
    </cacheField>
    <cacheField name="Sales Rep" numFmtId="0">
      <sharedItems count="10">
        <s v="Tara"/>
        <s v="Kate"/>
        <s v="Laxmi"/>
        <s v="Amar"/>
        <s v="Asif"/>
        <s v="Giana"/>
        <s v="Aryan"/>
        <s v="Krish"/>
        <s v="Leila"/>
        <s v="Bruce"/>
      </sharedItems>
    </cacheField>
    <cacheField name="City" numFmtId="0">
      <sharedItems count="5">
        <s v="Bangalore"/>
        <s v="Mumbai"/>
        <s v="Hyderabad"/>
        <s v="Cochin"/>
        <s v="Delhi"/>
      </sharedItems>
    </cacheField>
    <cacheField name="No.of Units" numFmtId="0">
      <sharedItems containsSemiMixedTypes="0" containsString="0" containsNumber="1" containsInteger="1" minValue="1" maxValue="50"/>
    </cacheField>
    <cacheField name="Price" numFmtId="0">
      <sharedItems containsSemiMixedTypes="0" containsString="0" containsNumber="1" containsInteger="1" minValue="75" maxValue="2001"/>
    </cacheField>
    <cacheField name="Amount" numFmtId="0">
      <sharedItems containsSemiMixedTypes="0" containsString="0" containsNumber="1" containsInteger="1" minValue="300" maxValue="100050"/>
    </cacheField>
    <cacheField name="Month" numFmtId="0">
      <sharedItems count="12">
        <s v="November"/>
        <s v="May"/>
        <s v="December"/>
        <s v="January"/>
        <s v="September"/>
        <s v="October"/>
        <s v="August"/>
        <s v="June"/>
        <s v="July"/>
        <s v="March"/>
        <s v="February"/>
        <s v="April"/>
      </sharedItems>
    </cacheField>
  </cacheFields>
  <extLst>
    <ext xmlns:x14="http://schemas.microsoft.com/office/spreadsheetml/2009/9/main" uri="{725AE2AE-9491-48be-B2B4-4EB974FC3084}">
      <x14:pivotCacheDefinition pivotCacheId="2144476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d v="2021-11-24T00:00:00"/>
    <x v="0"/>
    <x v="0"/>
    <x v="0"/>
    <x v="0"/>
    <n v="18"/>
    <n v="790"/>
    <n v="14220"/>
    <x v="0"/>
  </r>
  <r>
    <d v="2021-05-06T00:00:00"/>
    <x v="0"/>
    <x v="0"/>
    <x v="1"/>
    <x v="1"/>
    <n v="7"/>
    <n v="790"/>
    <n v="5530"/>
    <x v="1"/>
  </r>
  <r>
    <d v="2021-12-13T00:00:00"/>
    <x v="1"/>
    <x v="0"/>
    <x v="2"/>
    <x v="2"/>
    <n v="28"/>
    <n v="1575"/>
    <n v="44100"/>
    <x v="2"/>
  </r>
  <r>
    <d v="2021-01-17T00:00:00"/>
    <x v="2"/>
    <x v="1"/>
    <x v="0"/>
    <x v="0"/>
    <n v="15"/>
    <n v="1080"/>
    <n v="16200"/>
    <x v="3"/>
  </r>
  <r>
    <d v="2021-09-16T00:00:00"/>
    <x v="1"/>
    <x v="0"/>
    <x v="2"/>
    <x v="2"/>
    <n v="13"/>
    <n v="1575"/>
    <n v="20475"/>
    <x v="4"/>
  </r>
  <r>
    <d v="2021-11-29T00:00:00"/>
    <x v="2"/>
    <x v="1"/>
    <x v="3"/>
    <x v="2"/>
    <n v="29"/>
    <n v="1080"/>
    <n v="31320"/>
    <x v="0"/>
  </r>
  <r>
    <d v="2021-10-29T00:00:00"/>
    <x v="2"/>
    <x v="1"/>
    <x v="4"/>
    <x v="3"/>
    <n v="45"/>
    <n v="1080"/>
    <n v="48600"/>
    <x v="5"/>
  </r>
  <r>
    <d v="2021-08-05T00:00:00"/>
    <x v="2"/>
    <x v="1"/>
    <x v="5"/>
    <x v="3"/>
    <n v="14"/>
    <n v="1080"/>
    <n v="15120"/>
    <x v="6"/>
  </r>
  <r>
    <d v="2021-06-22T00:00:00"/>
    <x v="3"/>
    <x v="2"/>
    <x v="0"/>
    <x v="0"/>
    <n v="7"/>
    <n v="315"/>
    <n v="2205"/>
    <x v="7"/>
  </r>
  <r>
    <d v="2021-07-03T00:00:00"/>
    <x v="4"/>
    <x v="1"/>
    <x v="5"/>
    <x v="3"/>
    <n v="47"/>
    <n v="2001"/>
    <n v="94047"/>
    <x v="8"/>
  </r>
  <r>
    <d v="2021-08-24T00:00:00"/>
    <x v="3"/>
    <x v="2"/>
    <x v="2"/>
    <x v="2"/>
    <n v="6"/>
    <n v="315"/>
    <n v="1890"/>
    <x v="6"/>
  </r>
  <r>
    <d v="2021-10-10T00:00:00"/>
    <x v="1"/>
    <x v="0"/>
    <x v="5"/>
    <x v="3"/>
    <n v="13"/>
    <n v="1575"/>
    <n v="20475"/>
    <x v="5"/>
  </r>
  <r>
    <d v="2021-12-27T00:00:00"/>
    <x v="0"/>
    <x v="0"/>
    <x v="0"/>
    <x v="0"/>
    <n v="15"/>
    <n v="790"/>
    <n v="11850"/>
    <x v="2"/>
  </r>
  <r>
    <d v="2021-05-29T00:00:00"/>
    <x v="4"/>
    <x v="1"/>
    <x v="0"/>
    <x v="0"/>
    <n v="25"/>
    <n v="2001"/>
    <n v="50025"/>
    <x v="1"/>
  </r>
  <r>
    <d v="2021-05-23T00:00:00"/>
    <x v="2"/>
    <x v="1"/>
    <x v="6"/>
    <x v="4"/>
    <n v="24"/>
    <n v="1080"/>
    <n v="25920"/>
    <x v="1"/>
  </r>
  <r>
    <d v="2021-07-01T00:00:00"/>
    <x v="0"/>
    <x v="0"/>
    <x v="7"/>
    <x v="1"/>
    <n v="44"/>
    <n v="790"/>
    <n v="34760"/>
    <x v="8"/>
  </r>
  <r>
    <d v="2021-11-28T00:00:00"/>
    <x v="1"/>
    <x v="0"/>
    <x v="0"/>
    <x v="0"/>
    <n v="47"/>
    <n v="1575"/>
    <n v="74025"/>
    <x v="0"/>
  </r>
  <r>
    <d v="2021-05-06T00:00:00"/>
    <x v="3"/>
    <x v="2"/>
    <x v="7"/>
    <x v="1"/>
    <n v="18"/>
    <n v="315"/>
    <n v="5670"/>
    <x v="1"/>
  </r>
  <r>
    <d v="2021-11-24T00:00:00"/>
    <x v="0"/>
    <x v="0"/>
    <x v="2"/>
    <x v="2"/>
    <n v="21"/>
    <n v="790"/>
    <n v="16590"/>
    <x v="0"/>
  </r>
  <r>
    <d v="2021-01-29T00:00:00"/>
    <x v="5"/>
    <x v="2"/>
    <x v="1"/>
    <x v="1"/>
    <n v="26"/>
    <n v="75"/>
    <n v="1950"/>
    <x v="3"/>
  </r>
  <r>
    <d v="2021-05-18T00:00:00"/>
    <x v="1"/>
    <x v="0"/>
    <x v="0"/>
    <x v="0"/>
    <n v="46"/>
    <n v="1575"/>
    <n v="72450"/>
    <x v="1"/>
  </r>
  <r>
    <d v="2021-06-11T00:00:00"/>
    <x v="3"/>
    <x v="2"/>
    <x v="7"/>
    <x v="1"/>
    <n v="42"/>
    <n v="315"/>
    <n v="13230"/>
    <x v="7"/>
  </r>
  <r>
    <d v="2021-08-23T00:00:00"/>
    <x v="2"/>
    <x v="1"/>
    <x v="7"/>
    <x v="1"/>
    <n v="16"/>
    <n v="1080"/>
    <n v="17280"/>
    <x v="6"/>
  </r>
  <r>
    <d v="2021-10-15T00:00:00"/>
    <x v="0"/>
    <x v="0"/>
    <x v="3"/>
    <x v="2"/>
    <n v="38"/>
    <n v="790"/>
    <n v="30020"/>
    <x v="5"/>
  </r>
  <r>
    <d v="2021-08-08T00:00:00"/>
    <x v="5"/>
    <x v="2"/>
    <x v="3"/>
    <x v="2"/>
    <n v="15"/>
    <n v="75"/>
    <n v="1125"/>
    <x v="6"/>
  </r>
  <r>
    <d v="2021-03-12T00:00:00"/>
    <x v="4"/>
    <x v="1"/>
    <x v="3"/>
    <x v="2"/>
    <n v="49"/>
    <n v="2001"/>
    <n v="98049"/>
    <x v="9"/>
  </r>
  <r>
    <d v="2021-01-25T00:00:00"/>
    <x v="0"/>
    <x v="0"/>
    <x v="0"/>
    <x v="0"/>
    <n v="11"/>
    <n v="790"/>
    <n v="8690"/>
    <x v="3"/>
  </r>
  <r>
    <d v="2021-12-15T00:00:00"/>
    <x v="3"/>
    <x v="2"/>
    <x v="8"/>
    <x v="4"/>
    <n v="25"/>
    <n v="315"/>
    <n v="7875"/>
    <x v="2"/>
  </r>
  <r>
    <d v="2021-11-02T00:00:00"/>
    <x v="1"/>
    <x v="0"/>
    <x v="6"/>
    <x v="4"/>
    <n v="1"/>
    <n v="1575"/>
    <n v="1575"/>
    <x v="0"/>
  </r>
  <r>
    <d v="2021-12-15T00:00:00"/>
    <x v="0"/>
    <x v="0"/>
    <x v="9"/>
    <x v="0"/>
    <n v="22"/>
    <n v="790"/>
    <n v="17380"/>
    <x v="2"/>
  </r>
  <r>
    <d v="2021-02-27T00:00:00"/>
    <x v="2"/>
    <x v="1"/>
    <x v="5"/>
    <x v="3"/>
    <n v="30"/>
    <n v="1080"/>
    <n v="32400"/>
    <x v="10"/>
  </r>
  <r>
    <d v="2021-01-02T00:00:00"/>
    <x v="1"/>
    <x v="0"/>
    <x v="4"/>
    <x v="3"/>
    <n v="7"/>
    <n v="1575"/>
    <n v="11025"/>
    <x v="3"/>
  </r>
  <r>
    <d v="2021-11-17T00:00:00"/>
    <x v="2"/>
    <x v="1"/>
    <x v="4"/>
    <x v="3"/>
    <n v="24"/>
    <n v="1080"/>
    <n v="25920"/>
    <x v="0"/>
  </r>
  <r>
    <d v="2021-03-24T00:00:00"/>
    <x v="1"/>
    <x v="0"/>
    <x v="2"/>
    <x v="2"/>
    <n v="21"/>
    <n v="1575"/>
    <n v="33075"/>
    <x v="9"/>
  </r>
  <r>
    <d v="2021-09-08T00:00:00"/>
    <x v="5"/>
    <x v="2"/>
    <x v="0"/>
    <x v="0"/>
    <n v="20"/>
    <n v="75"/>
    <n v="1500"/>
    <x v="4"/>
  </r>
  <r>
    <d v="2021-05-03T00:00:00"/>
    <x v="1"/>
    <x v="0"/>
    <x v="0"/>
    <x v="0"/>
    <n v="6"/>
    <n v="1575"/>
    <n v="9450"/>
    <x v="1"/>
  </r>
  <r>
    <d v="2021-02-13T00:00:00"/>
    <x v="1"/>
    <x v="0"/>
    <x v="8"/>
    <x v="4"/>
    <n v="50"/>
    <n v="1575"/>
    <n v="78750"/>
    <x v="10"/>
  </r>
  <r>
    <d v="2021-03-06T00:00:00"/>
    <x v="1"/>
    <x v="0"/>
    <x v="7"/>
    <x v="1"/>
    <n v="11"/>
    <n v="1575"/>
    <n v="17325"/>
    <x v="9"/>
  </r>
  <r>
    <d v="2021-05-16T00:00:00"/>
    <x v="2"/>
    <x v="1"/>
    <x v="3"/>
    <x v="2"/>
    <n v="35"/>
    <n v="1080"/>
    <n v="37800"/>
    <x v="1"/>
  </r>
  <r>
    <d v="2021-12-20T00:00:00"/>
    <x v="3"/>
    <x v="2"/>
    <x v="7"/>
    <x v="1"/>
    <n v="43"/>
    <n v="315"/>
    <n v="13545"/>
    <x v="2"/>
  </r>
  <r>
    <d v="2021-11-29T00:00:00"/>
    <x v="1"/>
    <x v="0"/>
    <x v="5"/>
    <x v="3"/>
    <n v="29"/>
    <n v="1575"/>
    <n v="45675"/>
    <x v="0"/>
  </r>
  <r>
    <d v="2021-03-03T00:00:00"/>
    <x v="4"/>
    <x v="1"/>
    <x v="1"/>
    <x v="1"/>
    <n v="22"/>
    <n v="2001"/>
    <n v="44022"/>
    <x v="9"/>
  </r>
  <r>
    <d v="2021-01-11T00:00:00"/>
    <x v="1"/>
    <x v="0"/>
    <x v="2"/>
    <x v="2"/>
    <n v="15"/>
    <n v="1575"/>
    <n v="23625"/>
    <x v="3"/>
  </r>
  <r>
    <d v="2021-01-04T00:00:00"/>
    <x v="2"/>
    <x v="1"/>
    <x v="0"/>
    <x v="0"/>
    <n v="5"/>
    <n v="1080"/>
    <n v="5400"/>
    <x v="3"/>
  </r>
  <r>
    <d v="2021-01-17T00:00:00"/>
    <x v="1"/>
    <x v="0"/>
    <x v="4"/>
    <x v="3"/>
    <n v="16"/>
    <n v="1575"/>
    <n v="25200"/>
    <x v="3"/>
  </r>
  <r>
    <d v="2021-05-23T00:00:00"/>
    <x v="1"/>
    <x v="0"/>
    <x v="8"/>
    <x v="4"/>
    <n v="9"/>
    <n v="1575"/>
    <n v="14175"/>
    <x v="1"/>
  </r>
  <r>
    <d v="2021-10-20T00:00:00"/>
    <x v="2"/>
    <x v="1"/>
    <x v="3"/>
    <x v="2"/>
    <n v="31"/>
    <n v="1080"/>
    <n v="33480"/>
    <x v="5"/>
  </r>
  <r>
    <d v="2021-07-28T00:00:00"/>
    <x v="4"/>
    <x v="1"/>
    <x v="1"/>
    <x v="1"/>
    <n v="43"/>
    <n v="2001"/>
    <n v="86043"/>
    <x v="8"/>
  </r>
  <r>
    <d v="2021-08-09T00:00:00"/>
    <x v="3"/>
    <x v="2"/>
    <x v="5"/>
    <x v="3"/>
    <n v="30"/>
    <n v="315"/>
    <n v="9450"/>
    <x v="6"/>
  </r>
  <r>
    <d v="2021-01-28T00:00:00"/>
    <x v="3"/>
    <x v="2"/>
    <x v="0"/>
    <x v="0"/>
    <n v="47"/>
    <n v="315"/>
    <n v="14805"/>
    <x v="3"/>
  </r>
  <r>
    <d v="2021-06-23T00:00:00"/>
    <x v="2"/>
    <x v="1"/>
    <x v="0"/>
    <x v="0"/>
    <n v="13"/>
    <n v="1080"/>
    <n v="14040"/>
    <x v="7"/>
  </r>
  <r>
    <d v="2021-10-02T00:00:00"/>
    <x v="3"/>
    <x v="2"/>
    <x v="8"/>
    <x v="4"/>
    <n v="12"/>
    <n v="315"/>
    <n v="3780"/>
    <x v="5"/>
  </r>
  <r>
    <d v="2021-05-23T00:00:00"/>
    <x v="4"/>
    <x v="1"/>
    <x v="8"/>
    <x v="4"/>
    <n v="29"/>
    <n v="2001"/>
    <n v="58029"/>
    <x v="1"/>
  </r>
  <r>
    <d v="2021-10-09T00:00:00"/>
    <x v="0"/>
    <x v="0"/>
    <x v="0"/>
    <x v="0"/>
    <n v="35"/>
    <n v="790"/>
    <n v="27650"/>
    <x v="5"/>
  </r>
  <r>
    <d v="2021-01-08T00:00:00"/>
    <x v="2"/>
    <x v="1"/>
    <x v="0"/>
    <x v="0"/>
    <n v="27"/>
    <n v="1080"/>
    <n v="29160"/>
    <x v="3"/>
  </r>
  <r>
    <d v="2021-09-06T00:00:00"/>
    <x v="3"/>
    <x v="2"/>
    <x v="8"/>
    <x v="4"/>
    <n v="4"/>
    <n v="315"/>
    <n v="1260"/>
    <x v="4"/>
  </r>
  <r>
    <d v="2021-03-26T00:00:00"/>
    <x v="3"/>
    <x v="2"/>
    <x v="8"/>
    <x v="4"/>
    <n v="17"/>
    <n v="315"/>
    <n v="5355"/>
    <x v="9"/>
  </r>
  <r>
    <d v="2021-08-21T00:00:00"/>
    <x v="0"/>
    <x v="0"/>
    <x v="5"/>
    <x v="3"/>
    <n v="47"/>
    <n v="790"/>
    <n v="37130"/>
    <x v="6"/>
  </r>
  <r>
    <d v="2021-10-12T00:00:00"/>
    <x v="2"/>
    <x v="1"/>
    <x v="8"/>
    <x v="4"/>
    <n v="19"/>
    <n v="1080"/>
    <n v="20520"/>
    <x v="5"/>
  </r>
  <r>
    <d v="2021-04-22T00:00:00"/>
    <x v="0"/>
    <x v="0"/>
    <x v="0"/>
    <x v="0"/>
    <n v="21"/>
    <n v="790"/>
    <n v="16590"/>
    <x v="11"/>
  </r>
  <r>
    <d v="2021-01-30T00:00:00"/>
    <x v="1"/>
    <x v="0"/>
    <x v="9"/>
    <x v="0"/>
    <n v="34"/>
    <n v="1575"/>
    <n v="53550"/>
    <x v="3"/>
  </r>
  <r>
    <d v="2021-03-22T00:00:00"/>
    <x v="2"/>
    <x v="1"/>
    <x v="0"/>
    <x v="0"/>
    <n v="5"/>
    <n v="1080"/>
    <n v="5400"/>
    <x v="9"/>
  </r>
  <r>
    <d v="2021-11-01T00:00:00"/>
    <x v="3"/>
    <x v="2"/>
    <x v="0"/>
    <x v="0"/>
    <n v="8"/>
    <n v="315"/>
    <n v="2520"/>
    <x v="0"/>
  </r>
  <r>
    <d v="2021-10-19T00:00:00"/>
    <x v="1"/>
    <x v="0"/>
    <x v="1"/>
    <x v="1"/>
    <n v="6"/>
    <n v="1575"/>
    <n v="9450"/>
    <x v="5"/>
  </r>
  <r>
    <d v="2021-08-03T00:00:00"/>
    <x v="5"/>
    <x v="2"/>
    <x v="3"/>
    <x v="2"/>
    <n v="14"/>
    <n v="75"/>
    <n v="1050"/>
    <x v="6"/>
  </r>
  <r>
    <d v="2021-12-09T00:00:00"/>
    <x v="5"/>
    <x v="2"/>
    <x v="4"/>
    <x v="3"/>
    <n v="26"/>
    <n v="75"/>
    <n v="1950"/>
    <x v="2"/>
  </r>
  <r>
    <d v="2021-03-09T00:00:00"/>
    <x v="5"/>
    <x v="2"/>
    <x v="5"/>
    <x v="3"/>
    <n v="49"/>
    <n v="75"/>
    <n v="3675"/>
    <x v="9"/>
  </r>
  <r>
    <d v="2021-02-07T00:00:00"/>
    <x v="1"/>
    <x v="0"/>
    <x v="9"/>
    <x v="0"/>
    <n v="37"/>
    <n v="1575"/>
    <n v="58275"/>
    <x v="10"/>
  </r>
  <r>
    <d v="2021-02-21T00:00:00"/>
    <x v="1"/>
    <x v="0"/>
    <x v="0"/>
    <x v="0"/>
    <n v="17"/>
    <n v="1575"/>
    <n v="26775"/>
    <x v="10"/>
  </r>
  <r>
    <d v="2021-03-09T00:00:00"/>
    <x v="2"/>
    <x v="1"/>
    <x v="4"/>
    <x v="3"/>
    <n v="24"/>
    <n v="1080"/>
    <n v="25920"/>
    <x v="9"/>
  </r>
  <r>
    <d v="2021-05-26T00:00:00"/>
    <x v="1"/>
    <x v="0"/>
    <x v="7"/>
    <x v="1"/>
    <n v="46"/>
    <n v="1575"/>
    <n v="72450"/>
    <x v="1"/>
  </r>
  <r>
    <d v="2021-06-04T00:00:00"/>
    <x v="0"/>
    <x v="0"/>
    <x v="2"/>
    <x v="2"/>
    <n v="36"/>
    <n v="790"/>
    <n v="28440"/>
    <x v="7"/>
  </r>
  <r>
    <d v="2021-06-03T00:00:00"/>
    <x v="5"/>
    <x v="2"/>
    <x v="0"/>
    <x v="0"/>
    <n v="8"/>
    <n v="75"/>
    <n v="600"/>
    <x v="7"/>
  </r>
  <r>
    <d v="2021-02-24T00:00:00"/>
    <x v="5"/>
    <x v="2"/>
    <x v="2"/>
    <x v="2"/>
    <n v="19"/>
    <n v="75"/>
    <n v="1425"/>
    <x v="10"/>
  </r>
  <r>
    <d v="2021-11-06T00:00:00"/>
    <x v="2"/>
    <x v="1"/>
    <x v="7"/>
    <x v="1"/>
    <n v="44"/>
    <n v="1080"/>
    <n v="47520"/>
    <x v="0"/>
  </r>
  <r>
    <d v="2021-11-21T00:00:00"/>
    <x v="5"/>
    <x v="2"/>
    <x v="5"/>
    <x v="3"/>
    <n v="4"/>
    <n v="75"/>
    <n v="300"/>
    <x v="0"/>
  </r>
  <r>
    <d v="2021-02-17T00:00:00"/>
    <x v="4"/>
    <x v="1"/>
    <x v="6"/>
    <x v="4"/>
    <n v="1"/>
    <n v="2001"/>
    <n v="2001"/>
    <x v="10"/>
  </r>
  <r>
    <d v="2021-06-20T00:00:00"/>
    <x v="2"/>
    <x v="1"/>
    <x v="7"/>
    <x v="1"/>
    <n v="48"/>
    <n v="1080"/>
    <n v="51840"/>
    <x v="7"/>
  </r>
  <r>
    <d v="2021-08-15T00:00:00"/>
    <x v="1"/>
    <x v="0"/>
    <x v="3"/>
    <x v="2"/>
    <n v="1"/>
    <n v="1575"/>
    <n v="1575"/>
    <x v="6"/>
  </r>
  <r>
    <d v="2021-02-27T00:00:00"/>
    <x v="1"/>
    <x v="0"/>
    <x v="0"/>
    <x v="0"/>
    <n v="3"/>
    <n v="1575"/>
    <n v="4725"/>
    <x v="10"/>
  </r>
  <r>
    <d v="2021-07-09T00:00:00"/>
    <x v="3"/>
    <x v="2"/>
    <x v="2"/>
    <x v="2"/>
    <n v="9"/>
    <n v="315"/>
    <n v="2835"/>
    <x v="8"/>
  </r>
  <r>
    <d v="2021-01-22T00:00:00"/>
    <x v="4"/>
    <x v="1"/>
    <x v="5"/>
    <x v="3"/>
    <n v="23"/>
    <n v="2001"/>
    <n v="46023"/>
    <x v="3"/>
  </r>
  <r>
    <d v="2021-04-18T00:00:00"/>
    <x v="5"/>
    <x v="2"/>
    <x v="1"/>
    <x v="1"/>
    <n v="50"/>
    <n v="75"/>
    <n v="3750"/>
    <x v="11"/>
  </r>
  <r>
    <d v="2021-10-14T00:00:00"/>
    <x v="2"/>
    <x v="1"/>
    <x v="8"/>
    <x v="4"/>
    <n v="11"/>
    <n v="1080"/>
    <n v="11880"/>
    <x v="5"/>
  </r>
  <r>
    <d v="2021-04-01T00:00:00"/>
    <x v="2"/>
    <x v="1"/>
    <x v="8"/>
    <x v="4"/>
    <n v="48"/>
    <n v="1080"/>
    <n v="51840"/>
    <x v="11"/>
  </r>
  <r>
    <d v="2021-06-20T00:00:00"/>
    <x v="5"/>
    <x v="2"/>
    <x v="8"/>
    <x v="4"/>
    <n v="11"/>
    <n v="75"/>
    <n v="825"/>
    <x v="7"/>
  </r>
  <r>
    <d v="2021-12-26T00:00:00"/>
    <x v="4"/>
    <x v="1"/>
    <x v="9"/>
    <x v="0"/>
    <n v="31"/>
    <n v="2001"/>
    <n v="62031"/>
    <x v="2"/>
  </r>
  <r>
    <d v="2021-04-24T00:00:00"/>
    <x v="5"/>
    <x v="2"/>
    <x v="7"/>
    <x v="1"/>
    <n v="20"/>
    <n v="75"/>
    <n v="1500"/>
    <x v="11"/>
  </r>
  <r>
    <d v="2021-04-27T00:00:00"/>
    <x v="0"/>
    <x v="0"/>
    <x v="1"/>
    <x v="1"/>
    <n v="13"/>
    <n v="790"/>
    <n v="10270"/>
    <x v="11"/>
  </r>
  <r>
    <d v="2021-07-24T00:00:00"/>
    <x v="4"/>
    <x v="1"/>
    <x v="5"/>
    <x v="3"/>
    <n v="50"/>
    <n v="2001"/>
    <n v="100050"/>
    <x v="8"/>
  </r>
  <r>
    <d v="2021-05-23T00:00:00"/>
    <x v="0"/>
    <x v="0"/>
    <x v="5"/>
    <x v="3"/>
    <n v="35"/>
    <n v="790"/>
    <n v="27650"/>
    <x v="1"/>
  </r>
  <r>
    <d v="2021-06-19T00:00:00"/>
    <x v="5"/>
    <x v="2"/>
    <x v="0"/>
    <x v="0"/>
    <n v="12"/>
    <n v="75"/>
    <n v="900"/>
    <x v="7"/>
  </r>
  <r>
    <d v="2021-10-25T00:00:00"/>
    <x v="4"/>
    <x v="1"/>
    <x v="4"/>
    <x v="3"/>
    <n v="39"/>
    <n v="2001"/>
    <n v="78039"/>
    <x v="5"/>
  </r>
  <r>
    <d v="2021-08-11T00:00:00"/>
    <x v="3"/>
    <x v="2"/>
    <x v="5"/>
    <x v="3"/>
    <n v="39"/>
    <n v="315"/>
    <n v="12285"/>
    <x v="6"/>
  </r>
  <r>
    <d v="2021-09-19T00:00:00"/>
    <x v="1"/>
    <x v="0"/>
    <x v="9"/>
    <x v="0"/>
    <n v="13"/>
    <n v="1575"/>
    <n v="20475"/>
    <x v="4"/>
  </r>
  <r>
    <d v="2021-05-11T00:00:00"/>
    <x v="4"/>
    <x v="1"/>
    <x v="9"/>
    <x v="0"/>
    <n v="34"/>
    <n v="2001"/>
    <n v="68034"/>
    <x v="1"/>
  </r>
  <r>
    <d v="2021-10-03T00:00:00"/>
    <x v="3"/>
    <x v="2"/>
    <x v="7"/>
    <x v="1"/>
    <n v="5"/>
    <n v="315"/>
    <n v="1575"/>
    <x v="5"/>
  </r>
  <r>
    <d v="2021-12-07T00:00:00"/>
    <x v="0"/>
    <x v="0"/>
    <x v="5"/>
    <x v="3"/>
    <n v="8"/>
    <n v="790"/>
    <n v="6320"/>
    <x v="2"/>
  </r>
  <r>
    <d v="2021-06-03T00:00:00"/>
    <x v="0"/>
    <x v="0"/>
    <x v="3"/>
    <x v="2"/>
    <n v="27"/>
    <n v="790"/>
    <n v="21330"/>
    <x v="7"/>
  </r>
  <r>
    <d v="2021-06-17T00:00:00"/>
    <x v="1"/>
    <x v="0"/>
    <x v="6"/>
    <x v="4"/>
    <n v="9"/>
    <n v="1575"/>
    <n v="14175"/>
    <x v="7"/>
  </r>
  <r>
    <d v="2021-04-09T00:00:00"/>
    <x v="0"/>
    <x v="0"/>
    <x v="6"/>
    <x v="4"/>
    <n v="48"/>
    <n v="790"/>
    <n v="37920"/>
    <x v="11"/>
  </r>
  <r>
    <d v="2021-03-31T00:00:00"/>
    <x v="3"/>
    <x v="2"/>
    <x v="3"/>
    <x v="2"/>
    <n v="36"/>
    <n v="315"/>
    <n v="11340"/>
    <x v="9"/>
  </r>
  <r>
    <d v="2021-01-01T00:00:00"/>
    <x v="2"/>
    <x v="1"/>
    <x v="5"/>
    <x v="3"/>
    <n v="28"/>
    <n v="1080"/>
    <n v="30240"/>
    <x v="3"/>
  </r>
  <r>
    <d v="2021-10-24T00:00:00"/>
    <x v="3"/>
    <x v="2"/>
    <x v="3"/>
    <x v="2"/>
    <n v="29"/>
    <n v="315"/>
    <n v="9135"/>
    <x v="5"/>
  </r>
  <r>
    <d v="2021-08-15T00:00:00"/>
    <x v="0"/>
    <x v="0"/>
    <x v="7"/>
    <x v="1"/>
    <n v="11"/>
    <n v="790"/>
    <n v="8690"/>
    <x v="6"/>
  </r>
  <r>
    <d v="2021-12-04T00:00:00"/>
    <x v="1"/>
    <x v="0"/>
    <x v="9"/>
    <x v="0"/>
    <n v="43"/>
    <n v="1575"/>
    <n v="67725"/>
    <x v="2"/>
  </r>
  <r>
    <d v="2021-11-21T00:00:00"/>
    <x v="4"/>
    <x v="1"/>
    <x v="3"/>
    <x v="2"/>
    <n v="49"/>
    <n v="2001"/>
    <n v="98049"/>
    <x v="0"/>
  </r>
  <r>
    <d v="2021-05-01T00:00:00"/>
    <x v="2"/>
    <x v="1"/>
    <x v="4"/>
    <x v="3"/>
    <n v="10"/>
    <n v="1080"/>
    <n v="10800"/>
    <x v="1"/>
  </r>
  <r>
    <d v="2021-01-13T00:00:00"/>
    <x v="3"/>
    <x v="2"/>
    <x v="0"/>
    <x v="0"/>
    <n v="40"/>
    <n v="315"/>
    <n v="12600"/>
    <x v="3"/>
  </r>
  <r>
    <d v="2021-02-07T00:00:00"/>
    <x v="0"/>
    <x v="0"/>
    <x v="6"/>
    <x v="4"/>
    <n v="37"/>
    <n v="790"/>
    <n v="29230"/>
    <x v="10"/>
  </r>
  <r>
    <d v="2021-04-10T00:00:00"/>
    <x v="3"/>
    <x v="2"/>
    <x v="6"/>
    <x v="4"/>
    <n v="16"/>
    <n v="315"/>
    <n v="5040"/>
    <x v="11"/>
  </r>
  <r>
    <d v="2021-03-17T00:00:00"/>
    <x v="3"/>
    <x v="2"/>
    <x v="0"/>
    <x v="0"/>
    <n v="15"/>
    <n v="315"/>
    <n v="4725"/>
    <x v="9"/>
  </r>
  <r>
    <d v="2021-04-01T00:00:00"/>
    <x v="4"/>
    <x v="1"/>
    <x v="3"/>
    <x v="2"/>
    <n v="36"/>
    <n v="2001"/>
    <n v="72036"/>
    <x v="11"/>
  </r>
  <r>
    <d v="2021-05-08T00:00:00"/>
    <x v="2"/>
    <x v="1"/>
    <x v="9"/>
    <x v="0"/>
    <n v="30"/>
    <n v="1080"/>
    <n v="32400"/>
    <x v="1"/>
  </r>
  <r>
    <d v="2021-12-08T00:00:00"/>
    <x v="3"/>
    <x v="2"/>
    <x v="3"/>
    <x v="2"/>
    <n v="40"/>
    <n v="315"/>
    <n v="12600"/>
    <x v="2"/>
  </r>
  <r>
    <d v="2021-09-16T00:00:00"/>
    <x v="2"/>
    <x v="1"/>
    <x v="6"/>
    <x v="4"/>
    <n v="48"/>
    <n v="1080"/>
    <n v="51840"/>
    <x v="4"/>
  </r>
  <r>
    <d v="2021-09-01T00:00:00"/>
    <x v="2"/>
    <x v="1"/>
    <x v="6"/>
    <x v="4"/>
    <n v="41"/>
    <n v="1080"/>
    <n v="44280"/>
    <x v="4"/>
  </r>
  <r>
    <d v="2021-05-22T00:00:00"/>
    <x v="0"/>
    <x v="0"/>
    <x v="3"/>
    <x v="2"/>
    <n v="16"/>
    <n v="790"/>
    <n v="12640"/>
    <x v="1"/>
  </r>
  <r>
    <d v="2021-05-21T00:00:00"/>
    <x v="0"/>
    <x v="0"/>
    <x v="8"/>
    <x v="4"/>
    <n v="19"/>
    <n v="790"/>
    <n v="15010"/>
    <x v="1"/>
  </r>
  <r>
    <d v="2021-05-01T00:00:00"/>
    <x v="5"/>
    <x v="2"/>
    <x v="5"/>
    <x v="3"/>
    <n v="35"/>
    <n v="75"/>
    <n v="2625"/>
    <x v="1"/>
  </r>
  <r>
    <d v="2021-02-11T00:00:00"/>
    <x v="2"/>
    <x v="1"/>
    <x v="1"/>
    <x v="1"/>
    <n v="25"/>
    <n v="1080"/>
    <n v="27000"/>
    <x v="10"/>
  </r>
  <r>
    <d v="2021-12-22T00:00:00"/>
    <x v="4"/>
    <x v="1"/>
    <x v="1"/>
    <x v="1"/>
    <n v="27"/>
    <n v="2001"/>
    <n v="54027"/>
    <x v="2"/>
  </r>
  <r>
    <d v="2021-07-28T00:00:00"/>
    <x v="3"/>
    <x v="2"/>
    <x v="5"/>
    <x v="3"/>
    <n v="4"/>
    <n v="315"/>
    <n v="1260"/>
    <x v="8"/>
  </r>
  <r>
    <d v="2021-04-16T00:00:00"/>
    <x v="1"/>
    <x v="0"/>
    <x v="6"/>
    <x v="4"/>
    <n v="45"/>
    <n v="1575"/>
    <n v="70875"/>
    <x v="11"/>
  </r>
  <r>
    <d v="2021-01-11T00:00:00"/>
    <x v="3"/>
    <x v="2"/>
    <x v="3"/>
    <x v="2"/>
    <n v="1"/>
    <n v="315"/>
    <n v="315"/>
    <x v="3"/>
  </r>
  <r>
    <d v="2021-06-30T00:00:00"/>
    <x v="3"/>
    <x v="2"/>
    <x v="5"/>
    <x v="3"/>
    <n v="35"/>
    <n v="315"/>
    <n v="11025"/>
    <x v="7"/>
  </r>
  <r>
    <d v="2021-10-07T00:00:00"/>
    <x v="3"/>
    <x v="2"/>
    <x v="2"/>
    <x v="2"/>
    <n v="15"/>
    <n v="315"/>
    <n v="4725"/>
    <x v="5"/>
  </r>
  <r>
    <d v="2021-05-20T00:00:00"/>
    <x v="4"/>
    <x v="1"/>
    <x v="6"/>
    <x v="4"/>
    <n v="25"/>
    <n v="2001"/>
    <n v="50025"/>
    <x v="1"/>
  </r>
  <r>
    <d v="2021-06-22T00:00:00"/>
    <x v="3"/>
    <x v="2"/>
    <x v="8"/>
    <x v="4"/>
    <n v="9"/>
    <n v="315"/>
    <n v="2835"/>
    <x v="7"/>
  </r>
  <r>
    <d v="2021-11-15T00:00:00"/>
    <x v="3"/>
    <x v="2"/>
    <x v="2"/>
    <x v="2"/>
    <n v="38"/>
    <n v="315"/>
    <n v="11970"/>
    <x v="0"/>
  </r>
  <r>
    <d v="2021-10-16T00:00:00"/>
    <x v="0"/>
    <x v="0"/>
    <x v="0"/>
    <x v="0"/>
    <n v="28"/>
    <n v="790"/>
    <n v="22120"/>
    <x v="5"/>
  </r>
  <r>
    <d v="2021-03-11T00:00:00"/>
    <x v="4"/>
    <x v="1"/>
    <x v="8"/>
    <x v="4"/>
    <n v="17"/>
    <n v="2001"/>
    <n v="34017"/>
    <x v="9"/>
  </r>
  <r>
    <d v="2021-07-14T00:00:00"/>
    <x v="3"/>
    <x v="2"/>
    <x v="4"/>
    <x v="3"/>
    <n v="21"/>
    <n v="315"/>
    <n v="6615"/>
    <x v="8"/>
  </r>
  <r>
    <d v="2021-06-22T00:00:00"/>
    <x v="3"/>
    <x v="2"/>
    <x v="6"/>
    <x v="4"/>
    <n v="17"/>
    <n v="315"/>
    <n v="5355"/>
    <x v="7"/>
  </r>
  <r>
    <d v="2021-02-11T00:00:00"/>
    <x v="0"/>
    <x v="0"/>
    <x v="8"/>
    <x v="4"/>
    <n v="35"/>
    <n v="790"/>
    <n v="27650"/>
    <x v="10"/>
  </r>
  <r>
    <d v="2021-01-27T00:00:00"/>
    <x v="0"/>
    <x v="0"/>
    <x v="4"/>
    <x v="3"/>
    <n v="5"/>
    <n v="790"/>
    <n v="3950"/>
    <x v="3"/>
  </r>
  <r>
    <d v="2021-11-30T00:00:00"/>
    <x v="2"/>
    <x v="1"/>
    <x v="0"/>
    <x v="0"/>
    <n v="13"/>
    <n v="1080"/>
    <n v="14040"/>
    <x v="0"/>
  </r>
  <r>
    <d v="2021-01-11T00:00:00"/>
    <x v="2"/>
    <x v="1"/>
    <x v="2"/>
    <x v="2"/>
    <n v="9"/>
    <n v="1080"/>
    <n v="9720"/>
    <x v="3"/>
  </r>
  <r>
    <d v="2021-08-31T00:00:00"/>
    <x v="3"/>
    <x v="2"/>
    <x v="0"/>
    <x v="0"/>
    <n v="45"/>
    <n v="315"/>
    <n v="14175"/>
    <x v="6"/>
  </r>
  <r>
    <d v="2021-05-12T00:00:00"/>
    <x v="1"/>
    <x v="0"/>
    <x v="4"/>
    <x v="3"/>
    <n v="39"/>
    <n v="1575"/>
    <n v="61425"/>
    <x v="1"/>
  </r>
  <r>
    <d v="2021-02-28T00:00:00"/>
    <x v="4"/>
    <x v="1"/>
    <x v="7"/>
    <x v="1"/>
    <n v="38"/>
    <n v="2001"/>
    <n v="76038"/>
    <x v="10"/>
  </r>
  <r>
    <d v="2021-01-14T00:00:00"/>
    <x v="3"/>
    <x v="2"/>
    <x v="5"/>
    <x v="3"/>
    <n v="46"/>
    <n v="315"/>
    <n v="14490"/>
    <x v="3"/>
  </r>
  <r>
    <d v="2021-04-12T00:00:00"/>
    <x v="4"/>
    <x v="1"/>
    <x v="0"/>
    <x v="0"/>
    <n v="45"/>
    <n v="2001"/>
    <n v="90045"/>
    <x v="11"/>
  </r>
  <r>
    <d v="2021-06-04T00:00:00"/>
    <x v="1"/>
    <x v="0"/>
    <x v="2"/>
    <x v="2"/>
    <n v="3"/>
    <n v="1575"/>
    <n v="4725"/>
    <x v="7"/>
  </r>
  <r>
    <d v="2021-06-27T00:00:00"/>
    <x v="0"/>
    <x v="0"/>
    <x v="3"/>
    <x v="2"/>
    <n v="24"/>
    <n v="790"/>
    <n v="18960"/>
    <x v="7"/>
  </r>
  <r>
    <d v="2021-02-05T00:00:00"/>
    <x v="4"/>
    <x v="1"/>
    <x v="3"/>
    <x v="2"/>
    <n v="27"/>
    <n v="2001"/>
    <n v="54027"/>
    <x v="10"/>
  </r>
  <r>
    <d v="2021-09-08T00:00:00"/>
    <x v="5"/>
    <x v="2"/>
    <x v="9"/>
    <x v="0"/>
    <n v="41"/>
    <n v="75"/>
    <n v="3075"/>
    <x v="4"/>
  </r>
  <r>
    <d v="2021-08-24T00:00:00"/>
    <x v="2"/>
    <x v="1"/>
    <x v="7"/>
    <x v="1"/>
    <n v="47"/>
    <n v="1080"/>
    <n v="50760"/>
    <x v="6"/>
  </r>
  <r>
    <d v="2021-09-25T00:00:00"/>
    <x v="3"/>
    <x v="2"/>
    <x v="5"/>
    <x v="3"/>
    <n v="28"/>
    <n v="315"/>
    <n v="8820"/>
    <x v="4"/>
  </r>
  <r>
    <d v="2021-10-31T00:00:00"/>
    <x v="2"/>
    <x v="1"/>
    <x v="5"/>
    <x v="3"/>
    <n v="6"/>
    <n v="1080"/>
    <n v="648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4DEB89-273A-402A-A210-603A9EF95E70}"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3:E26" firstHeaderRow="1" firstDataRow="1" firstDataCol="1"/>
  <pivotFields count="9">
    <pivotField numFmtId="14" showAll="0"/>
    <pivotField showAll="0">
      <items count="7">
        <item x="3"/>
        <item x="4"/>
        <item x="2"/>
        <item x="1"/>
        <item x="0"/>
        <item x="5"/>
        <item t="default"/>
      </items>
    </pivotField>
    <pivotField showAll="0"/>
    <pivotField showAll="0"/>
    <pivotField showAll="0">
      <items count="6">
        <item x="0"/>
        <item x="3"/>
        <item x="4"/>
        <item x="2"/>
        <item x="1"/>
        <item t="default"/>
      </items>
    </pivotField>
    <pivotField showAll="0"/>
    <pivotField showAll="0"/>
    <pivotField dataField="1" showAll="0"/>
    <pivotField axis="axisRow" showAll="0">
      <items count="13">
        <item x="3"/>
        <item x="10"/>
        <item x="9"/>
        <item x="11"/>
        <item x="1"/>
        <item x="7"/>
        <item x="8"/>
        <item x="6"/>
        <item x="4"/>
        <item x="5"/>
        <item x="0"/>
        <item x="2"/>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Amount" fld="7" baseField="0" baseItem="0" numFmtId="3"/>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E25500-D264-4F13-8555-A861CEAC520D}"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14" firstHeaderRow="1" firstDataRow="1" firstDataCol="1"/>
  <pivotFields count="9">
    <pivotField numFmtId="14" showAll="0"/>
    <pivotField showAll="0">
      <items count="7">
        <item x="3"/>
        <item x="4"/>
        <item x="2"/>
        <item x="1"/>
        <item x="0"/>
        <item x="5"/>
        <item t="default"/>
      </items>
    </pivotField>
    <pivotField showAll="0"/>
    <pivotField name="Salesrep" axis="axisRow" showAll="0">
      <items count="11">
        <item x="3"/>
        <item x="6"/>
        <item x="4"/>
        <item x="9"/>
        <item x="5"/>
        <item x="1"/>
        <item x="7"/>
        <item x="2"/>
        <item x="8"/>
        <item x="0"/>
        <item t="default"/>
      </items>
    </pivotField>
    <pivotField showAll="0">
      <items count="6">
        <item x="0"/>
        <item x="3"/>
        <item x="4"/>
        <item x="2"/>
        <item x="1"/>
        <item t="default"/>
      </items>
    </pivotField>
    <pivotField showAll="0"/>
    <pivotField showAll="0"/>
    <pivotField dataField="1" showAll="0"/>
    <pivotField showAll="0">
      <items count="13">
        <item x="3"/>
        <item x="10"/>
        <item x="9"/>
        <item x="11"/>
        <item x="1"/>
        <item x="7"/>
        <item x="8"/>
        <item x="6"/>
        <item x="4"/>
        <item x="5"/>
        <item x="0"/>
        <item x="2"/>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AA723A-75A9-4ACE-AC7A-5ABA7B6D7631}"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7" firstHeaderRow="1" firstDataRow="1" firstDataCol="1"/>
  <pivotFields count="9">
    <pivotField numFmtId="14" showAll="0"/>
    <pivotField showAll="0">
      <items count="7">
        <item x="3"/>
        <item x="4"/>
        <item x="2"/>
        <item x="1"/>
        <item x="0"/>
        <item x="5"/>
        <item t="default"/>
      </items>
    </pivotField>
    <pivotField axis="axisRow" showAll="0">
      <items count="4">
        <item x="2"/>
        <item x="1"/>
        <item x="0"/>
        <item t="default"/>
      </items>
    </pivotField>
    <pivotField showAll="0"/>
    <pivotField showAll="0">
      <items count="6">
        <item x="0"/>
        <item x="3"/>
        <item x="4"/>
        <item x="2"/>
        <item x="1"/>
        <item t="default"/>
      </items>
    </pivotField>
    <pivotField showAll="0"/>
    <pivotField showAll="0"/>
    <pivotField dataField="1" showAll="0"/>
    <pivotField showAll="0">
      <items count="13">
        <item x="3"/>
        <item x="10"/>
        <item x="9"/>
        <item x="11"/>
        <item x="1"/>
        <item x="7"/>
        <item x="8"/>
        <item x="6"/>
        <item x="4"/>
        <item x="5"/>
        <item x="0"/>
        <item x="2"/>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A24F15-343B-4C91-BAA4-18AABD92415D}"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0" firstHeaderRow="1" firstDataRow="1" firstDataCol="1"/>
  <pivotFields count="9">
    <pivotField numFmtId="14" showAll="0"/>
    <pivotField axis="axisRow" showAll="0">
      <items count="7">
        <item x="3"/>
        <item x="4"/>
        <item x="2"/>
        <item x="1"/>
        <item x="0"/>
        <item x="5"/>
        <item t="default"/>
      </items>
    </pivotField>
    <pivotField showAll="0"/>
    <pivotField showAll="0"/>
    <pivotField showAll="0">
      <items count="6">
        <item x="0"/>
        <item x="3"/>
        <item x="4"/>
        <item x="2"/>
        <item x="1"/>
        <item t="default"/>
      </items>
    </pivotField>
    <pivotField showAll="0"/>
    <pivotField showAll="0"/>
    <pivotField dataField="1" showAll="0"/>
    <pivotField showAll="0">
      <items count="13">
        <item x="3"/>
        <item x="10"/>
        <item x="9"/>
        <item x="11"/>
        <item x="1"/>
        <item x="7"/>
        <item x="8"/>
        <item x="6"/>
        <item x="4"/>
        <item x="5"/>
        <item x="0"/>
        <item x="2"/>
        <item t="default"/>
      </items>
    </pivotField>
  </pivotFields>
  <rowFields count="1">
    <field x="1"/>
  </rowFields>
  <rowItems count="7">
    <i>
      <x/>
    </i>
    <i>
      <x v="1"/>
    </i>
    <i>
      <x v="2"/>
    </i>
    <i>
      <x v="3"/>
    </i>
    <i>
      <x v="4"/>
    </i>
    <i>
      <x v="5"/>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214225-65C2-461E-878B-E28E207E4143}"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9">
    <pivotField numFmtId="14" showAll="0"/>
    <pivotField showAll="0"/>
    <pivotField showAll="0"/>
    <pivotField showAll="0"/>
    <pivotField axis="axisRow" showAll="0">
      <items count="6">
        <item x="0"/>
        <item x="3"/>
        <item x="4"/>
        <item x="2"/>
        <item x="1"/>
        <item t="default"/>
      </items>
    </pivotField>
    <pivotField showAll="0"/>
    <pivotField showAll="0"/>
    <pivotField dataField="1" showAll="0"/>
    <pivotField showAll="0">
      <items count="13">
        <item x="3"/>
        <item x="10"/>
        <item x="9"/>
        <item x="11"/>
        <item x="1"/>
        <item x="7"/>
        <item x="8"/>
        <item x="6"/>
        <item x="4"/>
        <item x="5"/>
        <item x="0"/>
        <item x="2"/>
        <item t="default"/>
      </items>
    </pivotField>
  </pivotFields>
  <rowFields count="1">
    <field x="4"/>
  </rowFields>
  <rowItems count="6">
    <i>
      <x/>
    </i>
    <i>
      <x v="1"/>
    </i>
    <i>
      <x v="2"/>
    </i>
    <i>
      <x v="3"/>
    </i>
    <i>
      <x v="4"/>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708FB5D-80B0-4DA9-9182-9E9110DA44A0}" sourceName="Month">
  <pivotTables>
    <pivotTable tabId="5" name="PivotTable7"/>
    <pivotTable tabId="5" name="PivotTable10"/>
    <pivotTable tabId="5" name="PivotTable11"/>
    <pivotTable tabId="5" name="PivotTable8"/>
    <pivotTable tabId="5" name="PivotTable9"/>
  </pivotTables>
  <data>
    <tabular pivotCacheId="2144476955">
      <items count="12">
        <i x="3" s="1"/>
        <i x="10" s="1"/>
        <i x="9" s="1"/>
        <i x="11" s="1"/>
        <i x="1" s="1"/>
        <i x="7" s="1"/>
        <i x="8" s="1"/>
        <i x="6" s="1"/>
        <i x="4" s="1"/>
        <i x="5"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88555B9-A6CD-4F74-832B-B13334236D5B}" cache="Slicer_Month" caption="Months" columnCount="3"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971B8-9F90-4411-9F99-2D410359DF3B}">
  <dimension ref="A3:K26"/>
  <sheetViews>
    <sheetView workbookViewId="0">
      <selection activeCell="E17" sqref="E17"/>
    </sheetView>
  </sheetViews>
  <sheetFormatPr defaultRowHeight="14.5" x14ac:dyDescent="0.35"/>
  <cols>
    <col min="1" max="1" width="12.36328125" bestFit="1" customWidth="1"/>
    <col min="2" max="2" width="14" bestFit="1" customWidth="1"/>
    <col min="3" max="3" width="3" customWidth="1"/>
    <col min="4" max="4" width="15.81640625" bestFit="1" customWidth="1"/>
    <col min="5" max="5" width="14" bestFit="1" customWidth="1"/>
    <col min="6" max="6" width="3.90625" customWidth="1"/>
    <col min="7" max="7" width="12.36328125" bestFit="1" customWidth="1"/>
    <col min="8" max="8" width="14" bestFit="1" customWidth="1"/>
    <col min="9" max="9" width="2.7265625" customWidth="1"/>
    <col min="10" max="10" width="12.36328125" bestFit="1" customWidth="1"/>
    <col min="11" max="11" width="14" bestFit="1" customWidth="1"/>
  </cols>
  <sheetData>
    <row r="3" spans="1:11" x14ac:dyDescent="0.35">
      <c r="A3" s="2" t="s">
        <v>32</v>
      </c>
      <c r="B3" t="s">
        <v>34</v>
      </c>
      <c r="D3" s="2" t="s">
        <v>32</v>
      </c>
      <c r="E3" t="s">
        <v>34</v>
      </c>
      <c r="G3" s="2" t="s">
        <v>32</v>
      </c>
      <c r="H3" t="s">
        <v>34</v>
      </c>
      <c r="J3" s="2" t="s">
        <v>32</v>
      </c>
      <c r="K3" t="s">
        <v>34</v>
      </c>
    </row>
    <row r="4" spans="1:11" x14ac:dyDescent="0.35">
      <c r="A4" s="3" t="s">
        <v>11</v>
      </c>
      <c r="B4" s="4">
        <v>949830</v>
      </c>
      <c r="D4" s="3" t="s">
        <v>23</v>
      </c>
      <c r="E4" s="4">
        <v>235305</v>
      </c>
      <c r="G4" s="3" t="s">
        <v>24</v>
      </c>
      <c r="H4" s="4">
        <v>261555</v>
      </c>
      <c r="J4" s="3" t="s">
        <v>19</v>
      </c>
      <c r="K4" s="4">
        <v>544851</v>
      </c>
    </row>
    <row r="5" spans="1:11" x14ac:dyDescent="0.35">
      <c r="A5" s="3" t="s">
        <v>21</v>
      </c>
      <c r="B5" s="4">
        <v>824984</v>
      </c>
      <c r="D5" s="3" t="s">
        <v>25</v>
      </c>
      <c r="E5" s="4">
        <v>1314657</v>
      </c>
      <c r="G5" s="3" t="s">
        <v>18</v>
      </c>
      <c r="H5" s="4">
        <v>2139777</v>
      </c>
      <c r="J5" s="3" t="s">
        <v>26</v>
      </c>
      <c r="K5" s="4">
        <v>338236</v>
      </c>
    </row>
    <row r="6" spans="1:11" x14ac:dyDescent="0.35">
      <c r="A6" s="3" t="s">
        <v>27</v>
      </c>
      <c r="B6" s="4">
        <v>672037</v>
      </c>
      <c r="D6" s="3" t="s">
        <v>17</v>
      </c>
      <c r="E6" s="4">
        <v>825120</v>
      </c>
      <c r="G6" s="3" t="s">
        <v>9</v>
      </c>
      <c r="H6" s="4">
        <v>1448190</v>
      </c>
      <c r="J6" s="3" t="s">
        <v>20</v>
      </c>
      <c r="K6" s="4">
        <v>299444</v>
      </c>
    </row>
    <row r="7" spans="1:11" x14ac:dyDescent="0.35">
      <c r="A7" s="3" t="s">
        <v>16</v>
      </c>
      <c r="B7" s="4">
        <v>748446</v>
      </c>
      <c r="D7" s="3" t="s">
        <v>14</v>
      </c>
      <c r="E7" s="4">
        <v>957600</v>
      </c>
      <c r="G7" s="3" t="s">
        <v>33</v>
      </c>
      <c r="H7" s="4">
        <v>3849522</v>
      </c>
      <c r="J7" s="3" t="s">
        <v>31</v>
      </c>
      <c r="K7" s="4">
        <v>382945</v>
      </c>
    </row>
    <row r="8" spans="1:11" x14ac:dyDescent="0.35">
      <c r="A8" s="3" t="s">
        <v>13</v>
      </c>
      <c r="B8" s="4">
        <v>654225</v>
      </c>
      <c r="D8" s="3" t="s">
        <v>8</v>
      </c>
      <c r="E8" s="4">
        <v>490590</v>
      </c>
      <c r="J8" s="3" t="s">
        <v>22</v>
      </c>
      <c r="K8" s="4">
        <v>525540</v>
      </c>
    </row>
    <row r="9" spans="1:11" x14ac:dyDescent="0.35">
      <c r="A9" s="3" t="s">
        <v>33</v>
      </c>
      <c r="B9" s="4">
        <v>3849522</v>
      </c>
      <c r="D9" s="3" t="s">
        <v>29</v>
      </c>
      <c r="E9" s="4">
        <v>26250</v>
      </c>
      <c r="J9" s="3" t="s">
        <v>12</v>
      </c>
      <c r="K9" s="4">
        <v>242042</v>
      </c>
    </row>
    <row r="10" spans="1:11" x14ac:dyDescent="0.35">
      <c r="D10" s="3" t="s">
        <v>33</v>
      </c>
      <c r="E10" s="4">
        <v>3849522</v>
      </c>
      <c r="J10" s="3" t="s">
        <v>28</v>
      </c>
      <c r="K10" s="4">
        <v>412183</v>
      </c>
    </row>
    <row r="11" spans="1:11" x14ac:dyDescent="0.35">
      <c r="J11" s="3" t="s">
        <v>15</v>
      </c>
      <c r="K11" s="4">
        <v>203595</v>
      </c>
    </row>
    <row r="12" spans="1:11" x14ac:dyDescent="0.35">
      <c r="J12" s="3" t="s">
        <v>30</v>
      </c>
      <c r="K12" s="4">
        <v>333801</v>
      </c>
    </row>
    <row r="13" spans="1:11" x14ac:dyDescent="0.35">
      <c r="D13" s="2" t="s">
        <v>32</v>
      </c>
      <c r="E13" t="s">
        <v>34</v>
      </c>
      <c r="J13" s="3" t="s">
        <v>10</v>
      </c>
      <c r="K13" s="4">
        <v>566885</v>
      </c>
    </row>
    <row r="14" spans="1:11" x14ac:dyDescent="0.35">
      <c r="D14" s="3" t="s">
        <v>36</v>
      </c>
      <c r="E14" s="4">
        <v>306943</v>
      </c>
      <c r="J14" s="3" t="s">
        <v>33</v>
      </c>
      <c r="K14" s="4">
        <v>3849522</v>
      </c>
    </row>
    <row r="15" spans="1:11" x14ac:dyDescent="0.35">
      <c r="D15" s="3" t="s">
        <v>37</v>
      </c>
      <c r="E15" s="4">
        <v>418296</v>
      </c>
    </row>
    <row r="16" spans="1:11" x14ac:dyDescent="0.35">
      <c r="D16" s="3" t="s">
        <v>38</v>
      </c>
      <c r="E16" s="4">
        <v>282903</v>
      </c>
    </row>
    <row r="17" spans="4:5" x14ac:dyDescent="0.35">
      <c r="D17" s="3" t="s">
        <v>39</v>
      </c>
      <c r="E17" s="4">
        <v>359866</v>
      </c>
    </row>
    <row r="18" spans="4:5" x14ac:dyDescent="0.35">
      <c r="D18" s="3" t="s">
        <v>40</v>
      </c>
      <c r="E18" s="4">
        <v>632108</v>
      </c>
    </row>
    <row r="19" spans="4:5" x14ac:dyDescent="0.35">
      <c r="D19" s="3" t="s">
        <v>41</v>
      </c>
      <c r="E19" s="4">
        <v>190485</v>
      </c>
    </row>
    <row r="20" spans="4:5" x14ac:dyDescent="0.35">
      <c r="D20" s="3" t="s">
        <v>42</v>
      </c>
      <c r="E20" s="4">
        <v>325610</v>
      </c>
    </row>
    <row r="21" spans="4:5" x14ac:dyDescent="0.35">
      <c r="D21" s="3" t="s">
        <v>43</v>
      </c>
      <c r="E21" s="4">
        <v>170530</v>
      </c>
    </row>
    <row r="22" spans="4:5" x14ac:dyDescent="0.35">
      <c r="D22" s="3" t="s">
        <v>44</v>
      </c>
      <c r="E22" s="4">
        <v>151725</v>
      </c>
    </row>
    <row r="23" spans="4:5" x14ac:dyDescent="0.35">
      <c r="D23" s="3" t="s">
        <v>45</v>
      </c>
      <c r="E23" s="4">
        <v>327929</v>
      </c>
    </row>
    <row r="24" spans="4:5" x14ac:dyDescent="0.35">
      <c r="D24" s="3" t="s">
        <v>46</v>
      </c>
      <c r="E24" s="4">
        <v>383724</v>
      </c>
    </row>
    <row r="25" spans="4:5" x14ac:dyDescent="0.35">
      <c r="D25" s="3" t="s">
        <v>47</v>
      </c>
      <c r="E25" s="4">
        <v>299403</v>
      </c>
    </row>
    <row r="26" spans="4:5" x14ac:dyDescent="0.35">
      <c r="D26" s="3" t="s">
        <v>33</v>
      </c>
      <c r="E26" s="4">
        <v>3849522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154EF-FEC2-449B-908C-65E3171FC762}">
  <dimension ref="A1"/>
  <sheetViews>
    <sheetView tabSelected="1" zoomScale="90" zoomScaleNormal="90" workbookViewId="0">
      <selection activeCell="M22" sqref="M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workbookViewId="0">
      <pane ySplit="1" topLeftCell="A2" activePane="bottomLeft" state="frozen"/>
      <selection pane="bottomLeft" activeCell="J138" sqref="J138"/>
    </sheetView>
  </sheetViews>
  <sheetFormatPr defaultRowHeight="14.5" x14ac:dyDescent="0.35"/>
  <cols>
    <col min="1" max="1" width="12" customWidth="1"/>
    <col min="2" max="2" width="20" customWidth="1"/>
    <col min="3" max="3" width="12" customWidth="1"/>
    <col min="4" max="4" width="10" customWidth="1"/>
    <col min="5" max="5" width="12" customWidth="1"/>
    <col min="6" max="6" width="13" customWidth="1"/>
    <col min="7" max="7" width="8" customWidth="1"/>
    <col min="8" max="8" width="10" customWidth="1"/>
    <col min="9" max="9" width="9.54296875" customWidth="1"/>
  </cols>
  <sheetData>
    <row r="1" spans="1:9" x14ac:dyDescent="0.35">
      <c r="A1" s="5" t="s">
        <v>0</v>
      </c>
      <c r="B1" s="1" t="s">
        <v>1</v>
      </c>
      <c r="C1" s="1" t="s">
        <v>2</v>
      </c>
      <c r="D1" s="1" t="s">
        <v>3</v>
      </c>
      <c r="E1" s="1" t="s">
        <v>4</v>
      </c>
      <c r="F1" s="1" t="s">
        <v>5</v>
      </c>
      <c r="G1" s="1" t="s">
        <v>6</v>
      </c>
      <c r="H1" s="1" t="s">
        <v>7</v>
      </c>
      <c r="I1" s="6" t="s">
        <v>35</v>
      </c>
    </row>
    <row r="2" spans="1:9" x14ac:dyDescent="0.35">
      <c r="A2" s="7">
        <v>44524</v>
      </c>
      <c r="B2" s="8" t="s">
        <v>8</v>
      </c>
      <c r="C2" s="8" t="s">
        <v>9</v>
      </c>
      <c r="D2" s="8" t="s">
        <v>10</v>
      </c>
      <c r="E2" s="8" t="s">
        <v>11</v>
      </c>
      <c r="F2" s="9">
        <v>18</v>
      </c>
      <c r="G2" s="9">
        <v>790</v>
      </c>
      <c r="H2" s="10">
        <v>14220</v>
      </c>
      <c r="I2" s="11" t="str">
        <f>TEXT(A2,"mmmm")</f>
        <v>November</v>
      </c>
    </row>
    <row r="3" spans="1:9" x14ac:dyDescent="0.35">
      <c r="A3" s="7">
        <v>44322</v>
      </c>
      <c r="B3" s="8" t="s">
        <v>8</v>
      </c>
      <c r="C3" s="8" t="s">
        <v>9</v>
      </c>
      <c r="D3" s="8" t="s">
        <v>12</v>
      </c>
      <c r="E3" s="8" t="s">
        <v>13</v>
      </c>
      <c r="F3" s="9">
        <v>7</v>
      </c>
      <c r="G3" s="9">
        <v>790</v>
      </c>
      <c r="H3" s="10">
        <v>5530</v>
      </c>
      <c r="I3" s="11" t="str">
        <f t="shared" ref="I3:I66" si="0">TEXT(A3,"mmmm")</f>
        <v>May</v>
      </c>
    </row>
    <row r="4" spans="1:9" x14ac:dyDescent="0.35">
      <c r="A4" s="7">
        <v>44543</v>
      </c>
      <c r="B4" s="8" t="s">
        <v>14</v>
      </c>
      <c r="C4" s="8" t="s">
        <v>9</v>
      </c>
      <c r="D4" s="8" t="s">
        <v>15</v>
      </c>
      <c r="E4" s="8" t="s">
        <v>16</v>
      </c>
      <c r="F4" s="9">
        <v>28</v>
      </c>
      <c r="G4" s="9">
        <v>1575</v>
      </c>
      <c r="H4" s="10">
        <v>44100</v>
      </c>
      <c r="I4" s="11" t="str">
        <f t="shared" si="0"/>
        <v>December</v>
      </c>
    </row>
    <row r="5" spans="1:9" x14ac:dyDescent="0.35">
      <c r="A5" s="7">
        <v>44213</v>
      </c>
      <c r="B5" s="8" t="s">
        <v>17</v>
      </c>
      <c r="C5" s="8" t="s">
        <v>18</v>
      </c>
      <c r="D5" s="8" t="s">
        <v>10</v>
      </c>
      <c r="E5" s="8" t="s">
        <v>11</v>
      </c>
      <c r="F5" s="9">
        <v>15</v>
      </c>
      <c r="G5" s="9">
        <v>1080</v>
      </c>
      <c r="H5" s="10">
        <v>16200</v>
      </c>
      <c r="I5" s="11" t="str">
        <f t="shared" si="0"/>
        <v>January</v>
      </c>
    </row>
    <row r="6" spans="1:9" x14ac:dyDescent="0.35">
      <c r="A6" s="7">
        <v>44455</v>
      </c>
      <c r="B6" s="8" t="s">
        <v>14</v>
      </c>
      <c r="C6" s="8" t="s">
        <v>9</v>
      </c>
      <c r="D6" s="8" t="s">
        <v>15</v>
      </c>
      <c r="E6" s="8" t="s">
        <v>16</v>
      </c>
      <c r="F6" s="9">
        <v>13</v>
      </c>
      <c r="G6" s="9">
        <v>1575</v>
      </c>
      <c r="H6" s="10">
        <v>20475</v>
      </c>
      <c r="I6" s="11" t="str">
        <f t="shared" si="0"/>
        <v>September</v>
      </c>
    </row>
    <row r="7" spans="1:9" x14ac:dyDescent="0.35">
      <c r="A7" s="7">
        <v>44529</v>
      </c>
      <c r="B7" s="8" t="s">
        <v>17</v>
      </c>
      <c r="C7" s="8" t="s">
        <v>18</v>
      </c>
      <c r="D7" s="8" t="s">
        <v>19</v>
      </c>
      <c r="E7" s="8" t="s">
        <v>16</v>
      </c>
      <c r="F7" s="9">
        <v>29</v>
      </c>
      <c r="G7" s="9">
        <v>1080</v>
      </c>
      <c r="H7" s="10">
        <v>31320</v>
      </c>
      <c r="I7" s="11" t="str">
        <f t="shared" si="0"/>
        <v>November</v>
      </c>
    </row>
    <row r="8" spans="1:9" x14ac:dyDescent="0.35">
      <c r="A8" s="7">
        <v>44498</v>
      </c>
      <c r="B8" s="8" t="s">
        <v>17</v>
      </c>
      <c r="C8" s="8" t="s">
        <v>18</v>
      </c>
      <c r="D8" s="8" t="s">
        <v>20</v>
      </c>
      <c r="E8" s="8" t="s">
        <v>21</v>
      </c>
      <c r="F8" s="9">
        <v>45</v>
      </c>
      <c r="G8" s="9">
        <v>1080</v>
      </c>
      <c r="H8" s="10">
        <v>48600</v>
      </c>
      <c r="I8" s="11" t="str">
        <f t="shared" si="0"/>
        <v>October</v>
      </c>
    </row>
    <row r="9" spans="1:9" x14ac:dyDescent="0.35">
      <c r="A9" s="7">
        <v>44413</v>
      </c>
      <c r="B9" s="8" t="s">
        <v>17</v>
      </c>
      <c r="C9" s="8" t="s">
        <v>18</v>
      </c>
      <c r="D9" s="8" t="s">
        <v>22</v>
      </c>
      <c r="E9" s="8" t="s">
        <v>21</v>
      </c>
      <c r="F9" s="9">
        <v>14</v>
      </c>
      <c r="G9" s="9">
        <v>1080</v>
      </c>
      <c r="H9" s="10">
        <v>15120</v>
      </c>
      <c r="I9" s="11" t="str">
        <f t="shared" si="0"/>
        <v>August</v>
      </c>
    </row>
    <row r="10" spans="1:9" x14ac:dyDescent="0.35">
      <c r="A10" s="7">
        <v>44369</v>
      </c>
      <c r="B10" s="8" t="s">
        <v>23</v>
      </c>
      <c r="C10" s="8" t="s">
        <v>24</v>
      </c>
      <c r="D10" s="8" t="s">
        <v>10</v>
      </c>
      <c r="E10" s="8" t="s">
        <v>11</v>
      </c>
      <c r="F10" s="9">
        <v>7</v>
      </c>
      <c r="G10" s="9">
        <v>315</v>
      </c>
      <c r="H10" s="10">
        <v>2205</v>
      </c>
      <c r="I10" s="11" t="str">
        <f t="shared" si="0"/>
        <v>June</v>
      </c>
    </row>
    <row r="11" spans="1:9" x14ac:dyDescent="0.35">
      <c r="A11" s="7">
        <v>44380</v>
      </c>
      <c r="B11" s="8" t="s">
        <v>25</v>
      </c>
      <c r="C11" s="8" t="s">
        <v>18</v>
      </c>
      <c r="D11" s="8" t="s">
        <v>22</v>
      </c>
      <c r="E11" s="8" t="s">
        <v>21</v>
      </c>
      <c r="F11" s="9">
        <v>47</v>
      </c>
      <c r="G11" s="9">
        <v>2001</v>
      </c>
      <c r="H11" s="10">
        <v>94047</v>
      </c>
      <c r="I11" s="11" t="str">
        <f t="shared" si="0"/>
        <v>July</v>
      </c>
    </row>
    <row r="12" spans="1:9" x14ac:dyDescent="0.35">
      <c r="A12" s="7">
        <v>44432</v>
      </c>
      <c r="B12" s="8" t="s">
        <v>23</v>
      </c>
      <c r="C12" s="8" t="s">
        <v>24</v>
      </c>
      <c r="D12" s="8" t="s">
        <v>15</v>
      </c>
      <c r="E12" s="8" t="s">
        <v>16</v>
      </c>
      <c r="F12" s="9">
        <v>6</v>
      </c>
      <c r="G12" s="9">
        <v>315</v>
      </c>
      <c r="H12" s="10">
        <v>1890</v>
      </c>
      <c r="I12" s="11" t="str">
        <f t="shared" si="0"/>
        <v>August</v>
      </c>
    </row>
    <row r="13" spans="1:9" x14ac:dyDescent="0.35">
      <c r="A13" s="7">
        <v>44479</v>
      </c>
      <c r="B13" s="8" t="s">
        <v>14</v>
      </c>
      <c r="C13" s="8" t="s">
        <v>9</v>
      </c>
      <c r="D13" s="8" t="s">
        <v>22</v>
      </c>
      <c r="E13" s="8" t="s">
        <v>21</v>
      </c>
      <c r="F13" s="9">
        <v>13</v>
      </c>
      <c r="G13" s="9">
        <v>1575</v>
      </c>
      <c r="H13" s="10">
        <v>20475</v>
      </c>
      <c r="I13" s="11" t="str">
        <f t="shared" si="0"/>
        <v>October</v>
      </c>
    </row>
    <row r="14" spans="1:9" x14ac:dyDescent="0.35">
      <c r="A14" s="7">
        <v>44557</v>
      </c>
      <c r="B14" s="8" t="s">
        <v>8</v>
      </c>
      <c r="C14" s="8" t="s">
        <v>9</v>
      </c>
      <c r="D14" s="8" t="s">
        <v>10</v>
      </c>
      <c r="E14" s="8" t="s">
        <v>11</v>
      </c>
      <c r="F14" s="9">
        <v>15</v>
      </c>
      <c r="G14" s="9">
        <v>790</v>
      </c>
      <c r="H14" s="10">
        <v>11850</v>
      </c>
      <c r="I14" s="11" t="str">
        <f t="shared" si="0"/>
        <v>December</v>
      </c>
    </row>
    <row r="15" spans="1:9" x14ac:dyDescent="0.35">
      <c r="A15" s="7">
        <v>44345</v>
      </c>
      <c r="B15" s="8" t="s">
        <v>25</v>
      </c>
      <c r="C15" s="8" t="s">
        <v>18</v>
      </c>
      <c r="D15" s="8" t="s">
        <v>10</v>
      </c>
      <c r="E15" s="8" t="s">
        <v>11</v>
      </c>
      <c r="F15" s="9">
        <v>25</v>
      </c>
      <c r="G15" s="9">
        <v>2001</v>
      </c>
      <c r="H15" s="10">
        <v>50025</v>
      </c>
      <c r="I15" s="11" t="str">
        <f t="shared" si="0"/>
        <v>May</v>
      </c>
    </row>
    <row r="16" spans="1:9" x14ac:dyDescent="0.35">
      <c r="A16" s="7">
        <v>44339</v>
      </c>
      <c r="B16" s="8" t="s">
        <v>17</v>
      </c>
      <c r="C16" s="8" t="s">
        <v>18</v>
      </c>
      <c r="D16" s="8" t="s">
        <v>26</v>
      </c>
      <c r="E16" s="8" t="s">
        <v>27</v>
      </c>
      <c r="F16" s="9">
        <v>24</v>
      </c>
      <c r="G16" s="9">
        <v>1080</v>
      </c>
      <c r="H16" s="10">
        <v>25920</v>
      </c>
      <c r="I16" s="11" t="str">
        <f t="shared" si="0"/>
        <v>May</v>
      </c>
    </row>
    <row r="17" spans="1:9" x14ac:dyDescent="0.35">
      <c r="A17" s="7">
        <v>44378</v>
      </c>
      <c r="B17" s="8" t="s">
        <v>8</v>
      </c>
      <c r="C17" s="8" t="s">
        <v>9</v>
      </c>
      <c r="D17" s="8" t="s">
        <v>28</v>
      </c>
      <c r="E17" s="8" t="s">
        <v>13</v>
      </c>
      <c r="F17" s="9">
        <v>44</v>
      </c>
      <c r="G17" s="9">
        <v>790</v>
      </c>
      <c r="H17" s="10">
        <v>34760</v>
      </c>
      <c r="I17" s="11" t="str">
        <f t="shared" si="0"/>
        <v>July</v>
      </c>
    </row>
    <row r="18" spans="1:9" x14ac:dyDescent="0.35">
      <c r="A18" s="7">
        <v>44528</v>
      </c>
      <c r="B18" s="8" t="s">
        <v>14</v>
      </c>
      <c r="C18" s="8" t="s">
        <v>9</v>
      </c>
      <c r="D18" s="8" t="s">
        <v>10</v>
      </c>
      <c r="E18" s="8" t="s">
        <v>11</v>
      </c>
      <c r="F18" s="9">
        <v>47</v>
      </c>
      <c r="G18" s="9">
        <v>1575</v>
      </c>
      <c r="H18" s="10">
        <v>74025</v>
      </c>
      <c r="I18" s="11" t="str">
        <f t="shared" si="0"/>
        <v>November</v>
      </c>
    </row>
    <row r="19" spans="1:9" x14ac:dyDescent="0.35">
      <c r="A19" s="7">
        <v>44322</v>
      </c>
      <c r="B19" s="8" t="s">
        <v>23</v>
      </c>
      <c r="C19" s="8" t="s">
        <v>24</v>
      </c>
      <c r="D19" s="8" t="s">
        <v>28</v>
      </c>
      <c r="E19" s="8" t="s">
        <v>13</v>
      </c>
      <c r="F19" s="9">
        <v>18</v>
      </c>
      <c r="G19" s="9">
        <v>315</v>
      </c>
      <c r="H19" s="10">
        <v>5670</v>
      </c>
      <c r="I19" s="11" t="str">
        <f t="shared" si="0"/>
        <v>May</v>
      </c>
    </row>
    <row r="20" spans="1:9" x14ac:dyDescent="0.35">
      <c r="A20" s="7">
        <v>44524</v>
      </c>
      <c r="B20" s="8" t="s">
        <v>8</v>
      </c>
      <c r="C20" s="8" t="s">
        <v>9</v>
      </c>
      <c r="D20" s="8" t="s">
        <v>15</v>
      </c>
      <c r="E20" s="8" t="s">
        <v>16</v>
      </c>
      <c r="F20" s="9">
        <v>21</v>
      </c>
      <c r="G20" s="9">
        <v>790</v>
      </c>
      <c r="H20" s="10">
        <v>16590</v>
      </c>
      <c r="I20" s="11" t="str">
        <f t="shared" si="0"/>
        <v>November</v>
      </c>
    </row>
    <row r="21" spans="1:9" x14ac:dyDescent="0.35">
      <c r="A21" s="7">
        <v>44225</v>
      </c>
      <c r="B21" s="8" t="s">
        <v>29</v>
      </c>
      <c r="C21" s="8" t="s">
        <v>24</v>
      </c>
      <c r="D21" s="8" t="s">
        <v>12</v>
      </c>
      <c r="E21" s="8" t="s">
        <v>13</v>
      </c>
      <c r="F21" s="9">
        <v>26</v>
      </c>
      <c r="G21" s="9">
        <v>75</v>
      </c>
      <c r="H21" s="10">
        <v>1950</v>
      </c>
      <c r="I21" s="11" t="str">
        <f t="shared" si="0"/>
        <v>January</v>
      </c>
    </row>
    <row r="22" spans="1:9" x14ac:dyDescent="0.35">
      <c r="A22" s="7">
        <v>44334</v>
      </c>
      <c r="B22" s="8" t="s">
        <v>14</v>
      </c>
      <c r="C22" s="8" t="s">
        <v>9</v>
      </c>
      <c r="D22" s="8" t="s">
        <v>10</v>
      </c>
      <c r="E22" s="8" t="s">
        <v>11</v>
      </c>
      <c r="F22" s="9">
        <v>46</v>
      </c>
      <c r="G22" s="9">
        <v>1575</v>
      </c>
      <c r="H22" s="10">
        <v>72450</v>
      </c>
      <c r="I22" s="11" t="str">
        <f t="shared" si="0"/>
        <v>May</v>
      </c>
    </row>
    <row r="23" spans="1:9" x14ac:dyDescent="0.35">
      <c r="A23" s="7">
        <v>44358</v>
      </c>
      <c r="B23" s="8" t="s">
        <v>23</v>
      </c>
      <c r="C23" s="8" t="s">
        <v>24</v>
      </c>
      <c r="D23" s="8" t="s">
        <v>28</v>
      </c>
      <c r="E23" s="8" t="s">
        <v>13</v>
      </c>
      <c r="F23" s="9">
        <v>42</v>
      </c>
      <c r="G23" s="9">
        <v>315</v>
      </c>
      <c r="H23" s="10">
        <v>13230</v>
      </c>
      <c r="I23" s="11" t="str">
        <f t="shared" si="0"/>
        <v>June</v>
      </c>
    </row>
    <row r="24" spans="1:9" x14ac:dyDescent="0.35">
      <c r="A24" s="7">
        <v>44431</v>
      </c>
      <c r="B24" s="8" t="s">
        <v>17</v>
      </c>
      <c r="C24" s="8" t="s">
        <v>18</v>
      </c>
      <c r="D24" s="8" t="s">
        <v>28</v>
      </c>
      <c r="E24" s="8" t="s">
        <v>13</v>
      </c>
      <c r="F24" s="9">
        <v>16</v>
      </c>
      <c r="G24" s="9">
        <v>1080</v>
      </c>
      <c r="H24" s="10">
        <v>17280</v>
      </c>
      <c r="I24" s="11" t="str">
        <f t="shared" si="0"/>
        <v>August</v>
      </c>
    </row>
    <row r="25" spans="1:9" x14ac:dyDescent="0.35">
      <c r="A25" s="7">
        <v>44484</v>
      </c>
      <c r="B25" s="8" t="s">
        <v>8</v>
      </c>
      <c r="C25" s="8" t="s">
        <v>9</v>
      </c>
      <c r="D25" s="8" t="s">
        <v>19</v>
      </c>
      <c r="E25" s="8" t="s">
        <v>16</v>
      </c>
      <c r="F25" s="9">
        <v>38</v>
      </c>
      <c r="G25" s="9">
        <v>790</v>
      </c>
      <c r="H25" s="10">
        <v>30020</v>
      </c>
      <c r="I25" s="11" t="str">
        <f t="shared" si="0"/>
        <v>October</v>
      </c>
    </row>
    <row r="26" spans="1:9" x14ac:dyDescent="0.35">
      <c r="A26" s="7">
        <v>44416</v>
      </c>
      <c r="B26" s="8" t="s">
        <v>29</v>
      </c>
      <c r="C26" s="8" t="s">
        <v>24</v>
      </c>
      <c r="D26" s="8" t="s">
        <v>19</v>
      </c>
      <c r="E26" s="8" t="s">
        <v>16</v>
      </c>
      <c r="F26" s="9">
        <v>15</v>
      </c>
      <c r="G26" s="9">
        <v>75</v>
      </c>
      <c r="H26" s="10">
        <v>1125</v>
      </c>
      <c r="I26" s="11" t="str">
        <f t="shared" si="0"/>
        <v>August</v>
      </c>
    </row>
    <row r="27" spans="1:9" x14ac:dyDescent="0.35">
      <c r="A27" s="7">
        <v>44267</v>
      </c>
      <c r="B27" s="8" t="s">
        <v>25</v>
      </c>
      <c r="C27" s="8" t="s">
        <v>18</v>
      </c>
      <c r="D27" s="8" t="s">
        <v>19</v>
      </c>
      <c r="E27" s="8" t="s">
        <v>16</v>
      </c>
      <c r="F27" s="9">
        <v>49</v>
      </c>
      <c r="G27" s="9">
        <v>2001</v>
      </c>
      <c r="H27" s="10">
        <v>98049</v>
      </c>
      <c r="I27" s="11" t="str">
        <f t="shared" si="0"/>
        <v>March</v>
      </c>
    </row>
    <row r="28" spans="1:9" x14ac:dyDescent="0.35">
      <c r="A28" s="7">
        <v>44221</v>
      </c>
      <c r="B28" s="8" t="s">
        <v>8</v>
      </c>
      <c r="C28" s="8" t="s">
        <v>9</v>
      </c>
      <c r="D28" s="8" t="s">
        <v>10</v>
      </c>
      <c r="E28" s="8" t="s">
        <v>11</v>
      </c>
      <c r="F28" s="9">
        <v>11</v>
      </c>
      <c r="G28" s="9">
        <v>790</v>
      </c>
      <c r="H28" s="10">
        <v>8690</v>
      </c>
      <c r="I28" s="11" t="str">
        <f t="shared" si="0"/>
        <v>January</v>
      </c>
    </row>
    <row r="29" spans="1:9" x14ac:dyDescent="0.35">
      <c r="A29" s="7">
        <v>44545</v>
      </c>
      <c r="B29" s="8" t="s">
        <v>23</v>
      </c>
      <c r="C29" s="8" t="s">
        <v>24</v>
      </c>
      <c r="D29" s="8" t="s">
        <v>30</v>
      </c>
      <c r="E29" s="8" t="s">
        <v>27</v>
      </c>
      <c r="F29" s="9">
        <v>25</v>
      </c>
      <c r="G29" s="9">
        <v>315</v>
      </c>
      <c r="H29" s="10">
        <v>7875</v>
      </c>
      <c r="I29" s="11" t="str">
        <f t="shared" si="0"/>
        <v>December</v>
      </c>
    </row>
    <row r="30" spans="1:9" x14ac:dyDescent="0.35">
      <c r="A30" s="7">
        <v>44502</v>
      </c>
      <c r="B30" s="8" t="s">
        <v>14</v>
      </c>
      <c r="C30" s="8" t="s">
        <v>9</v>
      </c>
      <c r="D30" s="8" t="s">
        <v>26</v>
      </c>
      <c r="E30" s="8" t="s">
        <v>27</v>
      </c>
      <c r="F30" s="9">
        <v>1</v>
      </c>
      <c r="G30" s="9">
        <v>1575</v>
      </c>
      <c r="H30" s="10">
        <v>1575</v>
      </c>
      <c r="I30" s="11" t="str">
        <f t="shared" si="0"/>
        <v>November</v>
      </c>
    </row>
    <row r="31" spans="1:9" x14ac:dyDescent="0.35">
      <c r="A31" s="7">
        <v>44545</v>
      </c>
      <c r="B31" s="8" t="s">
        <v>8</v>
      </c>
      <c r="C31" s="8" t="s">
        <v>9</v>
      </c>
      <c r="D31" s="8" t="s">
        <v>31</v>
      </c>
      <c r="E31" s="8" t="s">
        <v>11</v>
      </c>
      <c r="F31" s="9">
        <v>22</v>
      </c>
      <c r="G31" s="9">
        <v>790</v>
      </c>
      <c r="H31" s="10">
        <v>17380</v>
      </c>
      <c r="I31" s="11" t="str">
        <f t="shared" si="0"/>
        <v>December</v>
      </c>
    </row>
    <row r="32" spans="1:9" x14ac:dyDescent="0.35">
      <c r="A32" s="7">
        <v>44254</v>
      </c>
      <c r="B32" s="8" t="s">
        <v>17</v>
      </c>
      <c r="C32" s="8" t="s">
        <v>18</v>
      </c>
      <c r="D32" s="8" t="s">
        <v>22</v>
      </c>
      <c r="E32" s="8" t="s">
        <v>21</v>
      </c>
      <c r="F32" s="9">
        <v>30</v>
      </c>
      <c r="G32" s="9">
        <v>1080</v>
      </c>
      <c r="H32" s="10">
        <v>32400</v>
      </c>
      <c r="I32" s="11" t="str">
        <f t="shared" si="0"/>
        <v>February</v>
      </c>
    </row>
    <row r="33" spans="1:9" x14ac:dyDescent="0.35">
      <c r="A33" s="7">
        <v>44198</v>
      </c>
      <c r="B33" s="8" t="s">
        <v>14</v>
      </c>
      <c r="C33" s="8" t="s">
        <v>9</v>
      </c>
      <c r="D33" s="8" t="s">
        <v>20</v>
      </c>
      <c r="E33" s="8" t="s">
        <v>21</v>
      </c>
      <c r="F33" s="9">
        <v>7</v>
      </c>
      <c r="G33" s="9">
        <v>1575</v>
      </c>
      <c r="H33" s="10">
        <v>11025</v>
      </c>
      <c r="I33" s="11" t="str">
        <f t="shared" si="0"/>
        <v>January</v>
      </c>
    </row>
    <row r="34" spans="1:9" x14ac:dyDescent="0.35">
      <c r="A34" s="7">
        <v>44517</v>
      </c>
      <c r="B34" s="8" t="s">
        <v>17</v>
      </c>
      <c r="C34" s="8" t="s">
        <v>18</v>
      </c>
      <c r="D34" s="8" t="s">
        <v>20</v>
      </c>
      <c r="E34" s="8" t="s">
        <v>21</v>
      </c>
      <c r="F34" s="9">
        <v>24</v>
      </c>
      <c r="G34" s="9">
        <v>1080</v>
      </c>
      <c r="H34" s="10">
        <v>25920</v>
      </c>
      <c r="I34" s="11" t="str">
        <f t="shared" si="0"/>
        <v>November</v>
      </c>
    </row>
    <row r="35" spans="1:9" x14ac:dyDescent="0.35">
      <c r="A35" s="7">
        <v>44279</v>
      </c>
      <c r="B35" s="8" t="s">
        <v>14</v>
      </c>
      <c r="C35" s="8" t="s">
        <v>9</v>
      </c>
      <c r="D35" s="8" t="s">
        <v>15</v>
      </c>
      <c r="E35" s="8" t="s">
        <v>16</v>
      </c>
      <c r="F35" s="9">
        <v>21</v>
      </c>
      <c r="G35" s="9">
        <v>1575</v>
      </c>
      <c r="H35" s="10">
        <v>33075</v>
      </c>
      <c r="I35" s="11" t="str">
        <f t="shared" si="0"/>
        <v>March</v>
      </c>
    </row>
    <row r="36" spans="1:9" x14ac:dyDescent="0.35">
      <c r="A36" s="7">
        <v>44447</v>
      </c>
      <c r="B36" s="8" t="s">
        <v>29</v>
      </c>
      <c r="C36" s="8" t="s">
        <v>24</v>
      </c>
      <c r="D36" s="8" t="s">
        <v>10</v>
      </c>
      <c r="E36" s="8" t="s">
        <v>11</v>
      </c>
      <c r="F36" s="9">
        <v>20</v>
      </c>
      <c r="G36" s="9">
        <v>75</v>
      </c>
      <c r="H36" s="10">
        <v>1500</v>
      </c>
      <c r="I36" s="11" t="str">
        <f t="shared" si="0"/>
        <v>September</v>
      </c>
    </row>
    <row r="37" spans="1:9" x14ac:dyDescent="0.35">
      <c r="A37" s="7">
        <v>44319</v>
      </c>
      <c r="B37" s="8" t="s">
        <v>14</v>
      </c>
      <c r="C37" s="8" t="s">
        <v>9</v>
      </c>
      <c r="D37" s="8" t="s">
        <v>10</v>
      </c>
      <c r="E37" s="8" t="s">
        <v>11</v>
      </c>
      <c r="F37" s="9">
        <v>6</v>
      </c>
      <c r="G37" s="9">
        <v>1575</v>
      </c>
      <c r="H37" s="10">
        <v>9450</v>
      </c>
      <c r="I37" s="11" t="str">
        <f t="shared" si="0"/>
        <v>May</v>
      </c>
    </row>
    <row r="38" spans="1:9" x14ac:dyDescent="0.35">
      <c r="A38" s="7">
        <v>44240</v>
      </c>
      <c r="B38" s="8" t="s">
        <v>14</v>
      </c>
      <c r="C38" s="8" t="s">
        <v>9</v>
      </c>
      <c r="D38" s="8" t="s">
        <v>30</v>
      </c>
      <c r="E38" s="8" t="s">
        <v>27</v>
      </c>
      <c r="F38" s="9">
        <v>50</v>
      </c>
      <c r="G38" s="9">
        <v>1575</v>
      </c>
      <c r="H38" s="10">
        <v>78750</v>
      </c>
      <c r="I38" s="11" t="str">
        <f t="shared" si="0"/>
        <v>February</v>
      </c>
    </row>
    <row r="39" spans="1:9" x14ac:dyDescent="0.35">
      <c r="A39" s="7">
        <v>44261</v>
      </c>
      <c r="B39" s="8" t="s">
        <v>14</v>
      </c>
      <c r="C39" s="8" t="s">
        <v>9</v>
      </c>
      <c r="D39" s="8" t="s">
        <v>28</v>
      </c>
      <c r="E39" s="8" t="s">
        <v>13</v>
      </c>
      <c r="F39" s="9">
        <v>11</v>
      </c>
      <c r="G39" s="9">
        <v>1575</v>
      </c>
      <c r="H39" s="10">
        <v>17325</v>
      </c>
      <c r="I39" s="11" t="str">
        <f t="shared" si="0"/>
        <v>March</v>
      </c>
    </row>
    <row r="40" spans="1:9" x14ac:dyDescent="0.35">
      <c r="A40" s="7">
        <v>44332</v>
      </c>
      <c r="B40" s="8" t="s">
        <v>17</v>
      </c>
      <c r="C40" s="8" t="s">
        <v>18</v>
      </c>
      <c r="D40" s="8" t="s">
        <v>19</v>
      </c>
      <c r="E40" s="8" t="s">
        <v>16</v>
      </c>
      <c r="F40" s="9">
        <v>35</v>
      </c>
      <c r="G40" s="9">
        <v>1080</v>
      </c>
      <c r="H40" s="10">
        <v>37800</v>
      </c>
      <c r="I40" s="11" t="str">
        <f t="shared" si="0"/>
        <v>May</v>
      </c>
    </row>
    <row r="41" spans="1:9" x14ac:dyDescent="0.35">
      <c r="A41" s="7">
        <v>44550</v>
      </c>
      <c r="B41" s="8" t="s">
        <v>23</v>
      </c>
      <c r="C41" s="8" t="s">
        <v>24</v>
      </c>
      <c r="D41" s="8" t="s">
        <v>28</v>
      </c>
      <c r="E41" s="8" t="s">
        <v>13</v>
      </c>
      <c r="F41" s="9">
        <v>43</v>
      </c>
      <c r="G41" s="9">
        <v>315</v>
      </c>
      <c r="H41" s="10">
        <v>13545</v>
      </c>
      <c r="I41" s="11" t="str">
        <f t="shared" si="0"/>
        <v>December</v>
      </c>
    </row>
    <row r="42" spans="1:9" x14ac:dyDescent="0.35">
      <c r="A42" s="7">
        <v>44529</v>
      </c>
      <c r="B42" s="8" t="s">
        <v>14</v>
      </c>
      <c r="C42" s="8" t="s">
        <v>9</v>
      </c>
      <c r="D42" s="8" t="s">
        <v>22</v>
      </c>
      <c r="E42" s="8" t="s">
        <v>21</v>
      </c>
      <c r="F42" s="9">
        <v>29</v>
      </c>
      <c r="G42" s="9">
        <v>1575</v>
      </c>
      <c r="H42" s="10">
        <v>45675</v>
      </c>
      <c r="I42" s="11" t="str">
        <f t="shared" si="0"/>
        <v>November</v>
      </c>
    </row>
    <row r="43" spans="1:9" x14ac:dyDescent="0.35">
      <c r="A43" s="7">
        <v>44258</v>
      </c>
      <c r="B43" s="8" t="s">
        <v>25</v>
      </c>
      <c r="C43" s="8" t="s">
        <v>18</v>
      </c>
      <c r="D43" s="8" t="s">
        <v>12</v>
      </c>
      <c r="E43" s="8" t="s">
        <v>13</v>
      </c>
      <c r="F43" s="9">
        <v>22</v>
      </c>
      <c r="G43" s="9">
        <v>2001</v>
      </c>
      <c r="H43" s="10">
        <v>44022</v>
      </c>
      <c r="I43" s="11" t="str">
        <f t="shared" si="0"/>
        <v>March</v>
      </c>
    </row>
    <row r="44" spans="1:9" x14ac:dyDescent="0.35">
      <c r="A44" s="7">
        <v>44207</v>
      </c>
      <c r="B44" s="8" t="s">
        <v>14</v>
      </c>
      <c r="C44" s="8" t="s">
        <v>9</v>
      </c>
      <c r="D44" s="8" t="s">
        <v>15</v>
      </c>
      <c r="E44" s="8" t="s">
        <v>16</v>
      </c>
      <c r="F44" s="9">
        <v>15</v>
      </c>
      <c r="G44" s="9">
        <v>1575</v>
      </c>
      <c r="H44" s="10">
        <v>23625</v>
      </c>
      <c r="I44" s="11" t="str">
        <f t="shared" si="0"/>
        <v>January</v>
      </c>
    </row>
    <row r="45" spans="1:9" x14ac:dyDescent="0.35">
      <c r="A45" s="7">
        <v>44200</v>
      </c>
      <c r="B45" s="8" t="s">
        <v>17</v>
      </c>
      <c r="C45" s="8" t="s">
        <v>18</v>
      </c>
      <c r="D45" s="8" t="s">
        <v>10</v>
      </c>
      <c r="E45" s="8" t="s">
        <v>11</v>
      </c>
      <c r="F45" s="9">
        <v>5</v>
      </c>
      <c r="G45" s="9">
        <v>1080</v>
      </c>
      <c r="H45" s="10">
        <v>5400</v>
      </c>
      <c r="I45" s="11" t="str">
        <f t="shared" si="0"/>
        <v>January</v>
      </c>
    </row>
    <row r="46" spans="1:9" x14ac:dyDescent="0.35">
      <c r="A46" s="7">
        <v>44213</v>
      </c>
      <c r="B46" s="8" t="s">
        <v>14</v>
      </c>
      <c r="C46" s="8" t="s">
        <v>9</v>
      </c>
      <c r="D46" s="8" t="s">
        <v>20</v>
      </c>
      <c r="E46" s="8" t="s">
        <v>21</v>
      </c>
      <c r="F46" s="9">
        <v>16</v>
      </c>
      <c r="G46" s="9">
        <v>1575</v>
      </c>
      <c r="H46" s="10">
        <v>25200</v>
      </c>
      <c r="I46" s="11" t="str">
        <f t="shared" si="0"/>
        <v>January</v>
      </c>
    </row>
    <row r="47" spans="1:9" x14ac:dyDescent="0.35">
      <c r="A47" s="7">
        <v>44339</v>
      </c>
      <c r="B47" s="8" t="s">
        <v>14</v>
      </c>
      <c r="C47" s="8" t="s">
        <v>9</v>
      </c>
      <c r="D47" s="8" t="s">
        <v>30</v>
      </c>
      <c r="E47" s="8" t="s">
        <v>27</v>
      </c>
      <c r="F47" s="9">
        <v>9</v>
      </c>
      <c r="G47" s="9">
        <v>1575</v>
      </c>
      <c r="H47" s="10">
        <v>14175</v>
      </c>
      <c r="I47" s="11" t="str">
        <f t="shared" si="0"/>
        <v>May</v>
      </c>
    </row>
    <row r="48" spans="1:9" x14ac:dyDescent="0.35">
      <c r="A48" s="7">
        <v>44489</v>
      </c>
      <c r="B48" s="8" t="s">
        <v>17</v>
      </c>
      <c r="C48" s="8" t="s">
        <v>18</v>
      </c>
      <c r="D48" s="8" t="s">
        <v>19</v>
      </c>
      <c r="E48" s="8" t="s">
        <v>16</v>
      </c>
      <c r="F48" s="9">
        <v>31</v>
      </c>
      <c r="G48" s="9">
        <v>1080</v>
      </c>
      <c r="H48" s="10">
        <v>33480</v>
      </c>
      <c r="I48" s="11" t="str">
        <f t="shared" si="0"/>
        <v>October</v>
      </c>
    </row>
    <row r="49" spans="1:9" x14ac:dyDescent="0.35">
      <c r="A49" s="7">
        <v>44405</v>
      </c>
      <c r="B49" s="8" t="s">
        <v>25</v>
      </c>
      <c r="C49" s="8" t="s">
        <v>18</v>
      </c>
      <c r="D49" s="8" t="s">
        <v>12</v>
      </c>
      <c r="E49" s="8" t="s">
        <v>13</v>
      </c>
      <c r="F49" s="9">
        <v>43</v>
      </c>
      <c r="G49" s="9">
        <v>2001</v>
      </c>
      <c r="H49" s="10">
        <v>86043</v>
      </c>
      <c r="I49" s="11" t="str">
        <f t="shared" si="0"/>
        <v>July</v>
      </c>
    </row>
    <row r="50" spans="1:9" x14ac:dyDescent="0.35">
      <c r="A50" s="7">
        <v>44417</v>
      </c>
      <c r="B50" s="8" t="s">
        <v>23</v>
      </c>
      <c r="C50" s="8" t="s">
        <v>24</v>
      </c>
      <c r="D50" s="8" t="s">
        <v>22</v>
      </c>
      <c r="E50" s="8" t="s">
        <v>21</v>
      </c>
      <c r="F50" s="9">
        <v>30</v>
      </c>
      <c r="G50" s="9">
        <v>315</v>
      </c>
      <c r="H50" s="10">
        <v>9450</v>
      </c>
      <c r="I50" s="11" t="str">
        <f t="shared" si="0"/>
        <v>August</v>
      </c>
    </row>
    <row r="51" spans="1:9" x14ac:dyDescent="0.35">
      <c r="A51" s="7">
        <v>44224</v>
      </c>
      <c r="B51" s="8" t="s">
        <v>23</v>
      </c>
      <c r="C51" s="8" t="s">
        <v>24</v>
      </c>
      <c r="D51" s="8" t="s">
        <v>10</v>
      </c>
      <c r="E51" s="8" t="s">
        <v>11</v>
      </c>
      <c r="F51" s="9">
        <v>47</v>
      </c>
      <c r="G51" s="9">
        <v>315</v>
      </c>
      <c r="H51" s="10">
        <v>14805</v>
      </c>
      <c r="I51" s="11" t="str">
        <f t="shared" si="0"/>
        <v>January</v>
      </c>
    </row>
    <row r="52" spans="1:9" x14ac:dyDescent="0.35">
      <c r="A52" s="7">
        <v>44370</v>
      </c>
      <c r="B52" s="8" t="s">
        <v>17</v>
      </c>
      <c r="C52" s="8" t="s">
        <v>18</v>
      </c>
      <c r="D52" s="8" t="s">
        <v>10</v>
      </c>
      <c r="E52" s="8" t="s">
        <v>11</v>
      </c>
      <c r="F52" s="9">
        <v>13</v>
      </c>
      <c r="G52" s="9">
        <v>1080</v>
      </c>
      <c r="H52" s="10">
        <v>14040</v>
      </c>
      <c r="I52" s="11" t="str">
        <f t="shared" si="0"/>
        <v>June</v>
      </c>
    </row>
    <row r="53" spans="1:9" x14ac:dyDescent="0.35">
      <c r="A53" s="7">
        <v>44471</v>
      </c>
      <c r="B53" s="8" t="s">
        <v>23</v>
      </c>
      <c r="C53" s="8" t="s">
        <v>24</v>
      </c>
      <c r="D53" s="8" t="s">
        <v>30</v>
      </c>
      <c r="E53" s="8" t="s">
        <v>27</v>
      </c>
      <c r="F53" s="9">
        <v>12</v>
      </c>
      <c r="G53" s="9">
        <v>315</v>
      </c>
      <c r="H53" s="10">
        <v>3780</v>
      </c>
      <c r="I53" s="11" t="str">
        <f t="shared" si="0"/>
        <v>October</v>
      </c>
    </row>
    <row r="54" spans="1:9" x14ac:dyDescent="0.35">
      <c r="A54" s="7">
        <v>44339</v>
      </c>
      <c r="B54" s="8" t="s">
        <v>25</v>
      </c>
      <c r="C54" s="8" t="s">
        <v>18</v>
      </c>
      <c r="D54" s="8" t="s">
        <v>30</v>
      </c>
      <c r="E54" s="8" t="s">
        <v>27</v>
      </c>
      <c r="F54" s="9">
        <v>29</v>
      </c>
      <c r="G54" s="9">
        <v>2001</v>
      </c>
      <c r="H54" s="10">
        <v>58029</v>
      </c>
      <c r="I54" s="11" t="str">
        <f t="shared" si="0"/>
        <v>May</v>
      </c>
    </row>
    <row r="55" spans="1:9" x14ac:dyDescent="0.35">
      <c r="A55" s="7">
        <v>44478</v>
      </c>
      <c r="B55" s="8" t="s">
        <v>8</v>
      </c>
      <c r="C55" s="8" t="s">
        <v>9</v>
      </c>
      <c r="D55" s="8" t="s">
        <v>10</v>
      </c>
      <c r="E55" s="8" t="s">
        <v>11</v>
      </c>
      <c r="F55" s="9">
        <v>35</v>
      </c>
      <c r="G55" s="9">
        <v>790</v>
      </c>
      <c r="H55" s="10">
        <v>27650</v>
      </c>
      <c r="I55" s="11" t="str">
        <f t="shared" si="0"/>
        <v>October</v>
      </c>
    </row>
    <row r="56" spans="1:9" x14ac:dyDescent="0.35">
      <c r="A56" s="7">
        <v>44204</v>
      </c>
      <c r="B56" s="8" t="s">
        <v>17</v>
      </c>
      <c r="C56" s="8" t="s">
        <v>18</v>
      </c>
      <c r="D56" s="8" t="s">
        <v>10</v>
      </c>
      <c r="E56" s="8" t="s">
        <v>11</v>
      </c>
      <c r="F56" s="9">
        <v>27</v>
      </c>
      <c r="G56" s="9">
        <v>1080</v>
      </c>
      <c r="H56" s="10">
        <v>29160</v>
      </c>
      <c r="I56" s="11" t="str">
        <f t="shared" si="0"/>
        <v>January</v>
      </c>
    </row>
    <row r="57" spans="1:9" x14ac:dyDescent="0.35">
      <c r="A57" s="7">
        <v>44445</v>
      </c>
      <c r="B57" s="8" t="s">
        <v>23</v>
      </c>
      <c r="C57" s="8" t="s">
        <v>24</v>
      </c>
      <c r="D57" s="8" t="s">
        <v>30</v>
      </c>
      <c r="E57" s="8" t="s">
        <v>27</v>
      </c>
      <c r="F57" s="9">
        <v>4</v>
      </c>
      <c r="G57" s="9">
        <v>315</v>
      </c>
      <c r="H57" s="10">
        <v>1260</v>
      </c>
      <c r="I57" s="11" t="str">
        <f t="shared" si="0"/>
        <v>September</v>
      </c>
    </row>
    <row r="58" spans="1:9" x14ac:dyDescent="0.35">
      <c r="A58" s="7">
        <v>44281</v>
      </c>
      <c r="B58" s="8" t="s">
        <v>23</v>
      </c>
      <c r="C58" s="8" t="s">
        <v>24</v>
      </c>
      <c r="D58" s="8" t="s">
        <v>30</v>
      </c>
      <c r="E58" s="8" t="s">
        <v>27</v>
      </c>
      <c r="F58" s="9">
        <v>17</v>
      </c>
      <c r="G58" s="9">
        <v>315</v>
      </c>
      <c r="H58" s="10">
        <v>5355</v>
      </c>
      <c r="I58" s="11" t="str">
        <f t="shared" si="0"/>
        <v>March</v>
      </c>
    </row>
    <row r="59" spans="1:9" x14ac:dyDescent="0.35">
      <c r="A59" s="7">
        <v>44429</v>
      </c>
      <c r="B59" s="8" t="s">
        <v>8</v>
      </c>
      <c r="C59" s="8" t="s">
        <v>9</v>
      </c>
      <c r="D59" s="8" t="s">
        <v>22</v>
      </c>
      <c r="E59" s="8" t="s">
        <v>21</v>
      </c>
      <c r="F59" s="9">
        <v>47</v>
      </c>
      <c r="G59" s="9">
        <v>790</v>
      </c>
      <c r="H59" s="10">
        <v>37130</v>
      </c>
      <c r="I59" s="11" t="str">
        <f t="shared" si="0"/>
        <v>August</v>
      </c>
    </row>
    <row r="60" spans="1:9" x14ac:dyDescent="0.35">
      <c r="A60" s="7">
        <v>44481</v>
      </c>
      <c r="B60" s="8" t="s">
        <v>17</v>
      </c>
      <c r="C60" s="8" t="s">
        <v>18</v>
      </c>
      <c r="D60" s="8" t="s">
        <v>30</v>
      </c>
      <c r="E60" s="8" t="s">
        <v>27</v>
      </c>
      <c r="F60" s="9">
        <v>19</v>
      </c>
      <c r="G60" s="9">
        <v>1080</v>
      </c>
      <c r="H60" s="10">
        <v>20520</v>
      </c>
      <c r="I60" s="11" t="str">
        <f t="shared" si="0"/>
        <v>October</v>
      </c>
    </row>
    <row r="61" spans="1:9" x14ac:dyDescent="0.35">
      <c r="A61" s="7">
        <v>44308</v>
      </c>
      <c r="B61" s="8" t="s">
        <v>8</v>
      </c>
      <c r="C61" s="8" t="s">
        <v>9</v>
      </c>
      <c r="D61" s="8" t="s">
        <v>10</v>
      </c>
      <c r="E61" s="8" t="s">
        <v>11</v>
      </c>
      <c r="F61" s="9">
        <v>21</v>
      </c>
      <c r="G61" s="9">
        <v>790</v>
      </c>
      <c r="H61" s="10">
        <v>16590</v>
      </c>
      <c r="I61" s="11" t="str">
        <f t="shared" si="0"/>
        <v>April</v>
      </c>
    </row>
    <row r="62" spans="1:9" x14ac:dyDescent="0.35">
      <c r="A62" s="7">
        <v>44226</v>
      </c>
      <c r="B62" s="8" t="s">
        <v>14</v>
      </c>
      <c r="C62" s="8" t="s">
        <v>9</v>
      </c>
      <c r="D62" s="8" t="s">
        <v>31</v>
      </c>
      <c r="E62" s="8" t="s">
        <v>11</v>
      </c>
      <c r="F62" s="9">
        <v>34</v>
      </c>
      <c r="G62" s="9">
        <v>1575</v>
      </c>
      <c r="H62" s="10">
        <v>53550</v>
      </c>
      <c r="I62" s="11" t="str">
        <f t="shared" si="0"/>
        <v>January</v>
      </c>
    </row>
    <row r="63" spans="1:9" x14ac:dyDescent="0.35">
      <c r="A63" s="7">
        <v>44277</v>
      </c>
      <c r="B63" s="8" t="s">
        <v>17</v>
      </c>
      <c r="C63" s="8" t="s">
        <v>18</v>
      </c>
      <c r="D63" s="8" t="s">
        <v>10</v>
      </c>
      <c r="E63" s="8" t="s">
        <v>11</v>
      </c>
      <c r="F63" s="9">
        <v>5</v>
      </c>
      <c r="G63" s="9">
        <v>1080</v>
      </c>
      <c r="H63" s="10">
        <v>5400</v>
      </c>
      <c r="I63" s="11" t="str">
        <f t="shared" si="0"/>
        <v>March</v>
      </c>
    </row>
    <row r="64" spans="1:9" x14ac:dyDescent="0.35">
      <c r="A64" s="7">
        <v>44501</v>
      </c>
      <c r="B64" s="8" t="s">
        <v>23</v>
      </c>
      <c r="C64" s="8" t="s">
        <v>24</v>
      </c>
      <c r="D64" s="8" t="s">
        <v>10</v>
      </c>
      <c r="E64" s="8" t="s">
        <v>11</v>
      </c>
      <c r="F64" s="9">
        <v>8</v>
      </c>
      <c r="G64" s="9">
        <v>315</v>
      </c>
      <c r="H64" s="10">
        <v>2520</v>
      </c>
      <c r="I64" s="11" t="str">
        <f t="shared" si="0"/>
        <v>November</v>
      </c>
    </row>
    <row r="65" spans="1:9" x14ac:dyDescent="0.35">
      <c r="A65" s="7">
        <v>44488</v>
      </c>
      <c r="B65" s="8" t="s">
        <v>14</v>
      </c>
      <c r="C65" s="8" t="s">
        <v>9</v>
      </c>
      <c r="D65" s="8" t="s">
        <v>12</v>
      </c>
      <c r="E65" s="8" t="s">
        <v>13</v>
      </c>
      <c r="F65" s="9">
        <v>6</v>
      </c>
      <c r="G65" s="9">
        <v>1575</v>
      </c>
      <c r="H65" s="10">
        <v>9450</v>
      </c>
      <c r="I65" s="11" t="str">
        <f t="shared" si="0"/>
        <v>October</v>
      </c>
    </row>
    <row r="66" spans="1:9" x14ac:dyDescent="0.35">
      <c r="A66" s="7">
        <v>44411</v>
      </c>
      <c r="B66" s="8" t="s">
        <v>29</v>
      </c>
      <c r="C66" s="8" t="s">
        <v>24</v>
      </c>
      <c r="D66" s="8" t="s">
        <v>19</v>
      </c>
      <c r="E66" s="8" t="s">
        <v>16</v>
      </c>
      <c r="F66" s="9">
        <v>14</v>
      </c>
      <c r="G66" s="9">
        <v>75</v>
      </c>
      <c r="H66" s="10">
        <v>1050</v>
      </c>
      <c r="I66" s="11" t="str">
        <f t="shared" si="0"/>
        <v>August</v>
      </c>
    </row>
    <row r="67" spans="1:9" x14ac:dyDescent="0.35">
      <c r="A67" s="7">
        <v>44539</v>
      </c>
      <c r="B67" s="8" t="s">
        <v>29</v>
      </c>
      <c r="C67" s="8" t="s">
        <v>24</v>
      </c>
      <c r="D67" s="8" t="s">
        <v>20</v>
      </c>
      <c r="E67" s="8" t="s">
        <v>21</v>
      </c>
      <c r="F67" s="9">
        <v>26</v>
      </c>
      <c r="G67" s="9">
        <v>75</v>
      </c>
      <c r="H67" s="10">
        <v>1950</v>
      </c>
      <c r="I67" s="11" t="str">
        <f t="shared" ref="I67:I130" si="1">TEXT(A67,"mmmm")</f>
        <v>December</v>
      </c>
    </row>
    <row r="68" spans="1:9" x14ac:dyDescent="0.35">
      <c r="A68" s="7">
        <v>44264</v>
      </c>
      <c r="B68" s="8" t="s">
        <v>29</v>
      </c>
      <c r="C68" s="8" t="s">
        <v>24</v>
      </c>
      <c r="D68" s="8" t="s">
        <v>22</v>
      </c>
      <c r="E68" s="8" t="s">
        <v>21</v>
      </c>
      <c r="F68" s="9">
        <v>49</v>
      </c>
      <c r="G68" s="9">
        <v>75</v>
      </c>
      <c r="H68" s="10">
        <v>3675</v>
      </c>
      <c r="I68" s="11" t="str">
        <f t="shared" si="1"/>
        <v>March</v>
      </c>
    </row>
    <row r="69" spans="1:9" x14ac:dyDescent="0.35">
      <c r="A69" s="7">
        <v>44234</v>
      </c>
      <c r="B69" s="8" t="s">
        <v>14</v>
      </c>
      <c r="C69" s="8" t="s">
        <v>9</v>
      </c>
      <c r="D69" s="8" t="s">
        <v>31</v>
      </c>
      <c r="E69" s="8" t="s">
        <v>11</v>
      </c>
      <c r="F69" s="9">
        <v>37</v>
      </c>
      <c r="G69" s="9">
        <v>1575</v>
      </c>
      <c r="H69" s="10">
        <v>58275</v>
      </c>
      <c r="I69" s="11" t="str">
        <f t="shared" si="1"/>
        <v>February</v>
      </c>
    </row>
    <row r="70" spans="1:9" x14ac:dyDescent="0.35">
      <c r="A70" s="7">
        <v>44248</v>
      </c>
      <c r="B70" s="8" t="s">
        <v>14</v>
      </c>
      <c r="C70" s="8" t="s">
        <v>9</v>
      </c>
      <c r="D70" s="8" t="s">
        <v>10</v>
      </c>
      <c r="E70" s="8" t="s">
        <v>11</v>
      </c>
      <c r="F70" s="9">
        <v>17</v>
      </c>
      <c r="G70" s="9">
        <v>1575</v>
      </c>
      <c r="H70" s="10">
        <v>26775</v>
      </c>
      <c r="I70" s="11" t="str">
        <f t="shared" si="1"/>
        <v>February</v>
      </c>
    </row>
    <row r="71" spans="1:9" x14ac:dyDescent="0.35">
      <c r="A71" s="7">
        <v>44264</v>
      </c>
      <c r="B71" s="8" t="s">
        <v>17</v>
      </c>
      <c r="C71" s="8" t="s">
        <v>18</v>
      </c>
      <c r="D71" s="8" t="s">
        <v>20</v>
      </c>
      <c r="E71" s="8" t="s">
        <v>21</v>
      </c>
      <c r="F71" s="9">
        <v>24</v>
      </c>
      <c r="G71" s="9">
        <v>1080</v>
      </c>
      <c r="H71" s="10">
        <v>25920</v>
      </c>
      <c r="I71" s="11" t="str">
        <f t="shared" si="1"/>
        <v>March</v>
      </c>
    </row>
    <row r="72" spans="1:9" x14ac:dyDescent="0.35">
      <c r="A72" s="7">
        <v>44342</v>
      </c>
      <c r="B72" s="8" t="s">
        <v>14</v>
      </c>
      <c r="C72" s="8" t="s">
        <v>9</v>
      </c>
      <c r="D72" s="8" t="s">
        <v>28</v>
      </c>
      <c r="E72" s="8" t="s">
        <v>13</v>
      </c>
      <c r="F72" s="9">
        <v>46</v>
      </c>
      <c r="G72" s="9">
        <v>1575</v>
      </c>
      <c r="H72" s="10">
        <v>72450</v>
      </c>
      <c r="I72" s="11" t="str">
        <f t="shared" si="1"/>
        <v>May</v>
      </c>
    </row>
    <row r="73" spans="1:9" x14ac:dyDescent="0.35">
      <c r="A73" s="7">
        <v>44351</v>
      </c>
      <c r="B73" s="8" t="s">
        <v>8</v>
      </c>
      <c r="C73" s="8" t="s">
        <v>9</v>
      </c>
      <c r="D73" s="8" t="s">
        <v>15</v>
      </c>
      <c r="E73" s="8" t="s">
        <v>16</v>
      </c>
      <c r="F73" s="9">
        <v>36</v>
      </c>
      <c r="G73" s="9">
        <v>790</v>
      </c>
      <c r="H73" s="10">
        <v>28440</v>
      </c>
      <c r="I73" s="11" t="str">
        <f t="shared" si="1"/>
        <v>June</v>
      </c>
    </row>
    <row r="74" spans="1:9" x14ac:dyDescent="0.35">
      <c r="A74" s="7">
        <v>44350</v>
      </c>
      <c r="B74" s="8" t="s">
        <v>29</v>
      </c>
      <c r="C74" s="8" t="s">
        <v>24</v>
      </c>
      <c r="D74" s="8" t="s">
        <v>10</v>
      </c>
      <c r="E74" s="8" t="s">
        <v>11</v>
      </c>
      <c r="F74" s="9">
        <v>8</v>
      </c>
      <c r="G74" s="9">
        <v>75</v>
      </c>
      <c r="H74" s="10">
        <v>600</v>
      </c>
      <c r="I74" s="11" t="str">
        <f t="shared" si="1"/>
        <v>June</v>
      </c>
    </row>
    <row r="75" spans="1:9" x14ac:dyDescent="0.35">
      <c r="A75" s="7">
        <v>44251</v>
      </c>
      <c r="B75" s="8" t="s">
        <v>29</v>
      </c>
      <c r="C75" s="8" t="s">
        <v>24</v>
      </c>
      <c r="D75" s="8" t="s">
        <v>15</v>
      </c>
      <c r="E75" s="8" t="s">
        <v>16</v>
      </c>
      <c r="F75" s="9">
        <v>19</v>
      </c>
      <c r="G75" s="9">
        <v>75</v>
      </c>
      <c r="H75" s="10">
        <v>1425</v>
      </c>
      <c r="I75" s="11" t="str">
        <f t="shared" si="1"/>
        <v>February</v>
      </c>
    </row>
    <row r="76" spans="1:9" x14ac:dyDescent="0.35">
      <c r="A76" s="7">
        <v>44506</v>
      </c>
      <c r="B76" s="8" t="s">
        <v>17</v>
      </c>
      <c r="C76" s="8" t="s">
        <v>18</v>
      </c>
      <c r="D76" s="8" t="s">
        <v>28</v>
      </c>
      <c r="E76" s="8" t="s">
        <v>13</v>
      </c>
      <c r="F76" s="9">
        <v>44</v>
      </c>
      <c r="G76" s="9">
        <v>1080</v>
      </c>
      <c r="H76" s="10">
        <v>47520</v>
      </c>
      <c r="I76" s="11" t="str">
        <f t="shared" si="1"/>
        <v>November</v>
      </c>
    </row>
    <row r="77" spans="1:9" x14ac:dyDescent="0.35">
      <c r="A77" s="7">
        <v>44521</v>
      </c>
      <c r="B77" s="8" t="s">
        <v>29</v>
      </c>
      <c r="C77" s="8" t="s">
        <v>24</v>
      </c>
      <c r="D77" s="8" t="s">
        <v>22</v>
      </c>
      <c r="E77" s="8" t="s">
        <v>21</v>
      </c>
      <c r="F77" s="9">
        <v>4</v>
      </c>
      <c r="G77" s="9">
        <v>75</v>
      </c>
      <c r="H77" s="10">
        <v>300</v>
      </c>
      <c r="I77" s="11" t="str">
        <f t="shared" si="1"/>
        <v>November</v>
      </c>
    </row>
    <row r="78" spans="1:9" x14ac:dyDescent="0.35">
      <c r="A78" s="7">
        <v>44244</v>
      </c>
      <c r="B78" s="8" t="s">
        <v>25</v>
      </c>
      <c r="C78" s="8" t="s">
        <v>18</v>
      </c>
      <c r="D78" s="8" t="s">
        <v>26</v>
      </c>
      <c r="E78" s="8" t="s">
        <v>27</v>
      </c>
      <c r="F78" s="9">
        <v>1</v>
      </c>
      <c r="G78" s="9">
        <v>2001</v>
      </c>
      <c r="H78" s="10">
        <v>2001</v>
      </c>
      <c r="I78" s="11" t="str">
        <f t="shared" si="1"/>
        <v>February</v>
      </c>
    </row>
    <row r="79" spans="1:9" x14ac:dyDescent="0.35">
      <c r="A79" s="7">
        <v>44367</v>
      </c>
      <c r="B79" s="8" t="s">
        <v>17</v>
      </c>
      <c r="C79" s="8" t="s">
        <v>18</v>
      </c>
      <c r="D79" s="8" t="s">
        <v>28</v>
      </c>
      <c r="E79" s="8" t="s">
        <v>13</v>
      </c>
      <c r="F79" s="9">
        <v>48</v>
      </c>
      <c r="G79" s="9">
        <v>1080</v>
      </c>
      <c r="H79" s="10">
        <v>51840</v>
      </c>
      <c r="I79" s="11" t="str">
        <f t="shared" si="1"/>
        <v>June</v>
      </c>
    </row>
    <row r="80" spans="1:9" x14ac:dyDescent="0.35">
      <c r="A80" s="7">
        <v>44423</v>
      </c>
      <c r="B80" s="8" t="s">
        <v>14</v>
      </c>
      <c r="C80" s="8" t="s">
        <v>9</v>
      </c>
      <c r="D80" s="8" t="s">
        <v>19</v>
      </c>
      <c r="E80" s="8" t="s">
        <v>16</v>
      </c>
      <c r="F80" s="9">
        <v>1</v>
      </c>
      <c r="G80" s="9">
        <v>1575</v>
      </c>
      <c r="H80" s="10">
        <v>1575</v>
      </c>
      <c r="I80" s="11" t="str">
        <f t="shared" si="1"/>
        <v>August</v>
      </c>
    </row>
    <row r="81" spans="1:9" x14ac:dyDescent="0.35">
      <c r="A81" s="7">
        <v>44254</v>
      </c>
      <c r="B81" s="8" t="s">
        <v>14</v>
      </c>
      <c r="C81" s="8" t="s">
        <v>9</v>
      </c>
      <c r="D81" s="8" t="s">
        <v>10</v>
      </c>
      <c r="E81" s="8" t="s">
        <v>11</v>
      </c>
      <c r="F81" s="9">
        <v>3</v>
      </c>
      <c r="G81" s="9">
        <v>1575</v>
      </c>
      <c r="H81" s="10">
        <v>4725</v>
      </c>
      <c r="I81" s="11" t="str">
        <f t="shared" si="1"/>
        <v>February</v>
      </c>
    </row>
    <row r="82" spans="1:9" x14ac:dyDescent="0.35">
      <c r="A82" s="7">
        <v>44386</v>
      </c>
      <c r="B82" s="8" t="s">
        <v>23</v>
      </c>
      <c r="C82" s="8" t="s">
        <v>24</v>
      </c>
      <c r="D82" s="8" t="s">
        <v>15</v>
      </c>
      <c r="E82" s="8" t="s">
        <v>16</v>
      </c>
      <c r="F82" s="9">
        <v>9</v>
      </c>
      <c r="G82" s="9">
        <v>315</v>
      </c>
      <c r="H82" s="10">
        <v>2835</v>
      </c>
      <c r="I82" s="11" t="str">
        <f t="shared" si="1"/>
        <v>July</v>
      </c>
    </row>
    <row r="83" spans="1:9" x14ac:dyDescent="0.35">
      <c r="A83" s="7">
        <v>44218</v>
      </c>
      <c r="B83" s="8" t="s">
        <v>25</v>
      </c>
      <c r="C83" s="8" t="s">
        <v>18</v>
      </c>
      <c r="D83" s="8" t="s">
        <v>22</v>
      </c>
      <c r="E83" s="8" t="s">
        <v>21</v>
      </c>
      <c r="F83" s="9">
        <v>23</v>
      </c>
      <c r="G83" s="9">
        <v>2001</v>
      </c>
      <c r="H83" s="10">
        <v>46023</v>
      </c>
      <c r="I83" s="11" t="str">
        <f t="shared" si="1"/>
        <v>January</v>
      </c>
    </row>
    <row r="84" spans="1:9" x14ac:dyDescent="0.35">
      <c r="A84" s="7">
        <v>44304</v>
      </c>
      <c r="B84" s="8" t="s">
        <v>29</v>
      </c>
      <c r="C84" s="8" t="s">
        <v>24</v>
      </c>
      <c r="D84" s="8" t="s">
        <v>12</v>
      </c>
      <c r="E84" s="8" t="s">
        <v>13</v>
      </c>
      <c r="F84" s="9">
        <v>50</v>
      </c>
      <c r="G84" s="9">
        <v>75</v>
      </c>
      <c r="H84" s="10">
        <v>3750</v>
      </c>
      <c r="I84" s="11" t="str">
        <f t="shared" si="1"/>
        <v>April</v>
      </c>
    </row>
    <row r="85" spans="1:9" x14ac:dyDescent="0.35">
      <c r="A85" s="7">
        <v>44483</v>
      </c>
      <c r="B85" s="8" t="s">
        <v>17</v>
      </c>
      <c r="C85" s="8" t="s">
        <v>18</v>
      </c>
      <c r="D85" s="8" t="s">
        <v>30</v>
      </c>
      <c r="E85" s="8" t="s">
        <v>27</v>
      </c>
      <c r="F85" s="9">
        <v>11</v>
      </c>
      <c r="G85" s="9">
        <v>1080</v>
      </c>
      <c r="H85" s="10">
        <v>11880</v>
      </c>
      <c r="I85" s="11" t="str">
        <f t="shared" si="1"/>
        <v>October</v>
      </c>
    </row>
    <row r="86" spans="1:9" x14ac:dyDescent="0.35">
      <c r="A86" s="7">
        <v>44287</v>
      </c>
      <c r="B86" s="8" t="s">
        <v>17</v>
      </c>
      <c r="C86" s="8" t="s">
        <v>18</v>
      </c>
      <c r="D86" s="8" t="s">
        <v>30</v>
      </c>
      <c r="E86" s="8" t="s">
        <v>27</v>
      </c>
      <c r="F86" s="9">
        <v>48</v>
      </c>
      <c r="G86" s="9">
        <v>1080</v>
      </c>
      <c r="H86" s="10">
        <v>51840</v>
      </c>
      <c r="I86" s="11" t="str">
        <f t="shared" si="1"/>
        <v>April</v>
      </c>
    </row>
    <row r="87" spans="1:9" x14ac:dyDescent="0.35">
      <c r="A87" s="7">
        <v>44367</v>
      </c>
      <c r="B87" s="8" t="s">
        <v>29</v>
      </c>
      <c r="C87" s="8" t="s">
        <v>24</v>
      </c>
      <c r="D87" s="8" t="s">
        <v>30</v>
      </c>
      <c r="E87" s="8" t="s">
        <v>27</v>
      </c>
      <c r="F87" s="9">
        <v>11</v>
      </c>
      <c r="G87" s="9">
        <v>75</v>
      </c>
      <c r="H87" s="10">
        <v>825</v>
      </c>
      <c r="I87" s="11" t="str">
        <f t="shared" si="1"/>
        <v>June</v>
      </c>
    </row>
    <row r="88" spans="1:9" x14ac:dyDescent="0.35">
      <c r="A88" s="7">
        <v>44556</v>
      </c>
      <c r="B88" s="8" t="s">
        <v>25</v>
      </c>
      <c r="C88" s="8" t="s">
        <v>18</v>
      </c>
      <c r="D88" s="8" t="s">
        <v>31</v>
      </c>
      <c r="E88" s="8" t="s">
        <v>11</v>
      </c>
      <c r="F88" s="9">
        <v>31</v>
      </c>
      <c r="G88" s="9">
        <v>2001</v>
      </c>
      <c r="H88" s="10">
        <v>62031</v>
      </c>
      <c r="I88" s="11" t="str">
        <f t="shared" si="1"/>
        <v>December</v>
      </c>
    </row>
    <row r="89" spans="1:9" x14ac:dyDescent="0.35">
      <c r="A89" s="7">
        <v>44310</v>
      </c>
      <c r="B89" s="8" t="s">
        <v>29</v>
      </c>
      <c r="C89" s="8" t="s">
        <v>24</v>
      </c>
      <c r="D89" s="8" t="s">
        <v>28</v>
      </c>
      <c r="E89" s="8" t="s">
        <v>13</v>
      </c>
      <c r="F89" s="9">
        <v>20</v>
      </c>
      <c r="G89" s="9">
        <v>75</v>
      </c>
      <c r="H89" s="10">
        <v>1500</v>
      </c>
      <c r="I89" s="11" t="str">
        <f t="shared" si="1"/>
        <v>April</v>
      </c>
    </row>
    <row r="90" spans="1:9" x14ac:dyDescent="0.35">
      <c r="A90" s="7">
        <v>44313</v>
      </c>
      <c r="B90" s="8" t="s">
        <v>8</v>
      </c>
      <c r="C90" s="8" t="s">
        <v>9</v>
      </c>
      <c r="D90" s="8" t="s">
        <v>12</v>
      </c>
      <c r="E90" s="8" t="s">
        <v>13</v>
      </c>
      <c r="F90" s="9">
        <v>13</v>
      </c>
      <c r="G90" s="9">
        <v>790</v>
      </c>
      <c r="H90" s="10">
        <v>10270</v>
      </c>
      <c r="I90" s="11" t="str">
        <f t="shared" si="1"/>
        <v>April</v>
      </c>
    </row>
    <row r="91" spans="1:9" x14ac:dyDescent="0.35">
      <c r="A91" s="7">
        <v>44401</v>
      </c>
      <c r="B91" s="8" t="s">
        <v>25</v>
      </c>
      <c r="C91" s="8" t="s">
        <v>18</v>
      </c>
      <c r="D91" s="8" t="s">
        <v>22</v>
      </c>
      <c r="E91" s="8" t="s">
        <v>21</v>
      </c>
      <c r="F91" s="9">
        <v>50</v>
      </c>
      <c r="G91" s="9">
        <v>2001</v>
      </c>
      <c r="H91" s="10">
        <v>100050</v>
      </c>
      <c r="I91" s="11" t="str">
        <f t="shared" si="1"/>
        <v>July</v>
      </c>
    </row>
    <row r="92" spans="1:9" x14ac:dyDescent="0.35">
      <c r="A92" s="7">
        <v>44339</v>
      </c>
      <c r="B92" s="8" t="s">
        <v>8</v>
      </c>
      <c r="C92" s="8" t="s">
        <v>9</v>
      </c>
      <c r="D92" s="8" t="s">
        <v>22</v>
      </c>
      <c r="E92" s="8" t="s">
        <v>21</v>
      </c>
      <c r="F92" s="9">
        <v>35</v>
      </c>
      <c r="G92" s="9">
        <v>790</v>
      </c>
      <c r="H92" s="10">
        <v>27650</v>
      </c>
      <c r="I92" s="11" t="str">
        <f t="shared" si="1"/>
        <v>May</v>
      </c>
    </row>
    <row r="93" spans="1:9" x14ac:dyDescent="0.35">
      <c r="A93" s="7">
        <v>44366</v>
      </c>
      <c r="B93" s="8" t="s">
        <v>29</v>
      </c>
      <c r="C93" s="8" t="s">
        <v>24</v>
      </c>
      <c r="D93" s="8" t="s">
        <v>10</v>
      </c>
      <c r="E93" s="8" t="s">
        <v>11</v>
      </c>
      <c r="F93" s="9">
        <v>12</v>
      </c>
      <c r="G93" s="9">
        <v>75</v>
      </c>
      <c r="H93" s="10">
        <v>900</v>
      </c>
      <c r="I93" s="11" t="str">
        <f t="shared" si="1"/>
        <v>June</v>
      </c>
    </row>
    <row r="94" spans="1:9" x14ac:dyDescent="0.35">
      <c r="A94" s="7">
        <v>44494</v>
      </c>
      <c r="B94" s="8" t="s">
        <v>25</v>
      </c>
      <c r="C94" s="8" t="s">
        <v>18</v>
      </c>
      <c r="D94" s="8" t="s">
        <v>20</v>
      </c>
      <c r="E94" s="8" t="s">
        <v>21</v>
      </c>
      <c r="F94" s="9">
        <v>39</v>
      </c>
      <c r="G94" s="9">
        <v>2001</v>
      </c>
      <c r="H94" s="10">
        <v>78039</v>
      </c>
      <c r="I94" s="11" t="str">
        <f t="shared" si="1"/>
        <v>October</v>
      </c>
    </row>
    <row r="95" spans="1:9" x14ac:dyDescent="0.35">
      <c r="A95" s="7">
        <v>44419</v>
      </c>
      <c r="B95" s="8" t="s">
        <v>23</v>
      </c>
      <c r="C95" s="8" t="s">
        <v>24</v>
      </c>
      <c r="D95" s="8" t="s">
        <v>22</v>
      </c>
      <c r="E95" s="8" t="s">
        <v>21</v>
      </c>
      <c r="F95" s="9">
        <v>39</v>
      </c>
      <c r="G95" s="9">
        <v>315</v>
      </c>
      <c r="H95" s="10">
        <v>12285</v>
      </c>
      <c r="I95" s="11" t="str">
        <f t="shared" si="1"/>
        <v>August</v>
      </c>
    </row>
    <row r="96" spans="1:9" x14ac:dyDescent="0.35">
      <c r="A96" s="7">
        <v>44458</v>
      </c>
      <c r="B96" s="8" t="s">
        <v>14</v>
      </c>
      <c r="C96" s="8" t="s">
        <v>9</v>
      </c>
      <c r="D96" s="8" t="s">
        <v>31</v>
      </c>
      <c r="E96" s="8" t="s">
        <v>11</v>
      </c>
      <c r="F96" s="9">
        <v>13</v>
      </c>
      <c r="G96" s="9">
        <v>1575</v>
      </c>
      <c r="H96" s="10">
        <v>20475</v>
      </c>
      <c r="I96" s="11" t="str">
        <f t="shared" si="1"/>
        <v>September</v>
      </c>
    </row>
    <row r="97" spans="1:9" x14ac:dyDescent="0.35">
      <c r="A97" s="7">
        <v>44327</v>
      </c>
      <c r="B97" s="8" t="s">
        <v>25</v>
      </c>
      <c r="C97" s="8" t="s">
        <v>18</v>
      </c>
      <c r="D97" s="8" t="s">
        <v>31</v>
      </c>
      <c r="E97" s="8" t="s">
        <v>11</v>
      </c>
      <c r="F97" s="9">
        <v>34</v>
      </c>
      <c r="G97" s="9">
        <v>2001</v>
      </c>
      <c r="H97" s="10">
        <v>68034</v>
      </c>
      <c r="I97" s="11" t="str">
        <f t="shared" si="1"/>
        <v>May</v>
      </c>
    </row>
    <row r="98" spans="1:9" x14ac:dyDescent="0.35">
      <c r="A98" s="7">
        <v>44472</v>
      </c>
      <c r="B98" s="8" t="s">
        <v>23</v>
      </c>
      <c r="C98" s="8" t="s">
        <v>24</v>
      </c>
      <c r="D98" s="8" t="s">
        <v>28</v>
      </c>
      <c r="E98" s="8" t="s">
        <v>13</v>
      </c>
      <c r="F98" s="9">
        <v>5</v>
      </c>
      <c r="G98" s="9">
        <v>315</v>
      </c>
      <c r="H98" s="10">
        <v>1575</v>
      </c>
      <c r="I98" s="11" t="str">
        <f t="shared" si="1"/>
        <v>October</v>
      </c>
    </row>
    <row r="99" spans="1:9" x14ac:dyDescent="0.35">
      <c r="A99" s="7">
        <v>44537</v>
      </c>
      <c r="B99" s="8" t="s">
        <v>8</v>
      </c>
      <c r="C99" s="8" t="s">
        <v>9</v>
      </c>
      <c r="D99" s="8" t="s">
        <v>22</v>
      </c>
      <c r="E99" s="8" t="s">
        <v>21</v>
      </c>
      <c r="F99" s="9">
        <v>8</v>
      </c>
      <c r="G99" s="9">
        <v>790</v>
      </c>
      <c r="H99" s="10">
        <v>6320</v>
      </c>
      <c r="I99" s="11" t="str">
        <f t="shared" si="1"/>
        <v>December</v>
      </c>
    </row>
    <row r="100" spans="1:9" x14ac:dyDescent="0.35">
      <c r="A100" s="7">
        <v>44350</v>
      </c>
      <c r="B100" s="8" t="s">
        <v>8</v>
      </c>
      <c r="C100" s="8" t="s">
        <v>9</v>
      </c>
      <c r="D100" s="8" t="s">
        <v>19</v>
      </c>
      <c r="E100" s="8" t="s">
        <v>16</v>
      </c>
      <c r="F100" s="9">
        <v>27</v>
      </c>
      <c r="G100" s="9">
        <v>790</v>
      </c>
      <c r="H100" s="10">
        <v>21330</v>
      </c>
      <c r="I100" s="11" t="str">
        <f t="shared" si="1"/>
        <v>June</v>
      </c>
    </row>
    <row r="101" spans="1:9" x14ac:dyDescent="0.35">
      <c r="A101" s="7">
        <v>44364</v>
      </c>
      <c r="B101" s="8" t="s">
        <v>14</v>
      </c>
      <c r="C101" s="8" t="s">
        <v>9</v>
      </c>
      <c r="D101" s="8" t="s">
        <v>26</v>
      </c>
      <c r="E101" s="8" t="s">
        <v>27</v>
      </c>
      <c r="F101" s="9">
        <v>9</v>
      </c>
      <c r="G101" s="9">
        <v>1575</v>
      </c>
      <c r="H101" s="10">
        <v>14175</v>
      </c>
      <c r="I101" s="11" t="str">
        <f t="shared" si="1"/>
        <v>June</v>
      </c>
    </row>
    <row r="102" spans="1:9" x14ac:dyDescent="0.35">
      <c r="A102" s="7">
        <v>44295</v>
      </c>
      <c r="B102" s="8" t="s">
        <v>8</v>
      </c>
      <c r="C102" s="8" t="s">
        <v>9</v>
      </c>
      <c r="D102" s="8" t="s">
        <v>26</v>
      </c>
      <c r="E102" s="8" t="s">
        <v>27</v>
      </c>
      <c r="F102" s="9">
        <v>48</v>
      </c>
      <c r="G102" s="9">
        <v>790</v>
      </c>
      <c r="H102" s="10">
        <v>37920</v>
      </c>
      <c r="I102" s="11" t="str">
        <f t="shared" si="1"/>
        <v>April</v>
      </c>
    </row>
    <row r="103" spans="1:9" x14ac:dyDescent="0.35">
      <c r="A103" s="7">
        <v>44286</v>
      </c>
      <c r="B103" s="8" t="s">
        <v>23</v>
      </c>
      <c r="C103" s="8" t="s">
        <v>24</v>
      </c>
      <c r="D103" s="8" t="s">
        <v>19</v>
      </c>
      <c r="E103" s="8" t="s">
        <v>16</v>
      </c>
      <c r="F103" s="9">
        <v>36</v>
      </c>
      <c r="G103" s="9">
        <v>315</v>
      </c>
      <c r="H103" s="10">
        <v>11340</v>
      </c>
      <c r="I103" s="11" t="str">
        <f t="shared" si="1"/>
        <v>March</v>
      </c>
    </row>
    <row r="104" spans="1:9" x14ac:dyDescent="0.35">
      <c r="A104" s="7">
        <v>44197</v>
      </c>
      <c r="B104" s="8" t="s">
        <v>17</v>
      </c>
      <c r="C104" s="8" t="s">
        <v>18</v>
      </c>
      <c r="D104" s="8" t="s">
        <v>22</v>
      </c>
      <c r="E104" s="8" t="s">
        <v>21</v>
      </c>
      <c r="F104" s="9">
        <v>28</v>
      </c>
      <c r="G104" s="9">
        <v>1080</v>
      </c>
      <c r="H104" s="10">
        <v>30240</v>
      </c>
      <c r="I104" s="11" t="str">
        <f t="shared" si="1"/>
        <v>January</v>
      </c>
    </row>
    <row r="105" spans="1:9" x14ac:dyDescent="0.35">
      <c r="A105" s="7">
        <v>44493</v>
      </c>
      <c r="B105" s="8" t="s">
        <v>23</v>
      </c>
      <c r="C105" s="8" t="s">
        <v>24</v>
      </c>
      <c r="D105" s="8" t="s">
        <v>19</v>
      </c>
      <c r="E105" s="8" t="s">
        <v>16</v>
      </c>
      <c r="F105" s="9">
        <v>29</v>
      </c>
      <c r="G105" s="9">
        <v>315</v>
      </c>
      <c r="H105" s="10">
        <v>9135</v>
      </c>
      <c r="I105" s="11" t="str">
        <f t="shared" si="1"/>
        <v>October</v>
      </c>
    </row>
    <row r="106" spans="1:9" x14ac:dyDescent="0.35">
      <c r="A106" s="7">
        <v>44423</v>
      </c>
      <c r="B106" s="8" t="s">
        <v>8</v>
      </c>
      <c r="C106" s="8" t="s">
        <v>9</v>
      </c>
      <c r="D106" s="8" t="s">
        <v>28</v>
      </c>
      <c r="E106" s="8" t="s">
        <v>13</v>
      </c>
      <c r="F106" s="9">
        <v>11</v>
      </c>
      <c r="G106" s="9">
        <v>790</v>
      </c>
      <c r="H106" s="10">
        <v>8690</v>
      </c>
      <c r="I106" s="11" t="str">
        <f t="shared" si="1"/>
        <v>August</v>
      </c>
    </row>
    <row r="107" spans="1:9" x14ac:dyDescent="0.35">
      <c r="A107" s="7">
        <v>44534</v>
      </c>
      <c r="B107" s="8" t="s">
        <v>14</v>
      </c>
      <c r="C107" s="8" t="s">
        <v>9</v>
      </c>
      <c r="D107" s="8" t="s">
        <v>31</v>
      </c>
      <c r="E107" s="8" t="s">
        <v>11</v>
      </c>
      <c r="F107" s="9">
        <v>43</v>
      </c>
      <c r="G107" s="9">
        <v>1575</v>
      </c>
      <c r="H107" s="10">
        <v>67725</v>
      </c>
      <c r="I107" s="11" t="str">
        <f t="shared" si="1"/>
        <v>December</v>
      </c>
    </row>
    <row r="108" spans="1:9" x14ac:dyDescent="0.35">
      <c r="A108" s="7">
        <v>44521</v>
      </c>
      <c r="B108" s="8" t="s">
        <v>25</v>
      </c>
      <c r="C108" s="8" t="s">
        <v>18</v>
      </c>
      <c r="D108" s="8" t="s">
        <v>19</v>
      </c>
      <c r="E108" s="8" t="s">
        <v>16</v>
      </c>
      <c r="F108" s="9">
        <v>49</v>
      </c>
      <c r="G108" s="9">
        <v>2001</v>
      </c>
      <c r="H108" s="10">
        <v>98049</v>
      </c>
      <c r="I108" s="11" t="str">
        <f t="shared" si="1"/>
        <v>November</v>
      </c>
    </row>
    <row r="109" spans="1:9" x14ac:dyDescent="0.35">
      <c r="A109" s="7">
        <v>44317</v>
      </c>
      <c r="B109" s="8" t="s">
        <v>17</v>
      </c>
      <c r="C109" s="8" t="s">
        <v>18</v>
      </c>
      <c r="D109" s="8" t="s">
        <v>20</v>
      </c>
      <c r="E109" s="8" t="s">
        <v>21</v>
      </c>
      <c r="F109" s="9">
        <v>10</v>
      </c>
      <c r="G109" s="9">
        <v>1080</v>
      </c>
      <c r="H109" s="10">
        <v>10800</v>
      </c>
      <c r="I109" s="11" t="str">
        <f t="shared" si="1"/>
        <v>May</v>
      </c>
    </row>
    <row r="110" spans="1:9" x14ac:dyDescent="0.35">
      <c r="A110" s="7">
        <v>44209</v>
      </c>
      <c r="B110" s="8" t="s">
        <v>23</v>
      </c>
      <c r="C110" s="8" t="s">
        <v>24</v>
      </c>
      <c r="D110" s="8" t="s">
        <v>10</v>
      </c>
      <c r="E110" s="8" t="s">
        <v>11</v>
      </c>
      <c r="F110" s="9">
        <v>40</v>
      </c>
      <c r="G110" s="9">
        <v>315</v>
      </c>
      <c r="H110" s="10">
        <v>12600</v>
      </c>
      <c r="I110" s="11" t="str">
        <f t="shared" si="1"/>
        <v>January</v>
      </c>
    </row>
    <row r="111" spans="1:9" x14ac:dyDescent="0.35">
      <c r="A111" s="7">
        <v>44234</v>
      </c>
      <c r="B111" s="8" t="s">
        <v>8</v>
      </c>
      <c r="C111" s="8" t="s">
        <v>9</v>
      </c>
      <c r="D111" s="8" t="s">
        <v>26</v>
      </c>
      <c r="E111" s="8" t="s">
        <v>27</v>
      </c>
      <c r="F111" s="9">
        <v>37</v>
      </c>
      <c r="G111" s="9">
        <v>790</v>
      </c>
      <c r="H111" s="10">
        <v>29230</v>
      </c>
      <c r="I111" s="11" t="str">
        <f t="shared" si="1"/>
        <v>February</v>
      </c>
    </row>
    <row r="112" spans="1:9" x14ac:dyDescent="0.35">
      <c r="A112" s="7">
        <v>44296</v>
      </c>
      <c r="B112" s="8" t="s">
        <v>23</v>
      </c>
      <c r="C112" s="8" t="s">
        <v>24</v>
      </c>
      <c r="D112" s="8" t="s">
        <v>26</v>
      </c>
      <c r="E112" s="8" t="s">
        <v>27</v>
      </c>
      <c r="F112" s="9">
        <v>16</v>
      </c>
      <c r="G112" s="9">
        <v>315</v>
      </c>
      <c r="H112" s="10">
        <v>5040</v>
      </c>
      <c r="I112" s="11" t="str">
        <f t="shared" si="1"/>
        <v>April</v>
      </c>
    </row>
    <row r="113" spans="1:9" x14ac:dyDescent="0.35">
      <c r="A113" s="7">
        <v>44272</v>
      </c>
      <c r="B113" s="8" t="s">
        <v>23</v>
      </c>
      <c r="C113" s="8" t="s">
        <v>24</v>
      </c>
      <c r="D113" s="8" t="s">
        <v>10</v>
      </c>
      <c r="E113" s="8" t="s">
        <v>11</v>
      </c>
      <c r="F113" s="9">
        <v>15</v>
      </c>
      <c r="G113" s="9">
        <v>315</v>
      </c>
      <c r="H113" s="10">
        <v>4725</v>
      </c>
      <c r="I113" s="11" t="str">
        <f t="shared" si="1"/>
        <v>March</v>
      </c>
    </row>
    <row r="114" spans="1:9" x14ac:dyDescent="0.35">
      <c r="A114" s="7">
        <v>44287</v>
      </c>
      <c r="B114" s="8" t="s">
        <v>25</v>
      </c>
      <c r="C114" s="8" t="s">
        <v>18</v>
      </c>
      <c r="D114" s="8" t="s">
        <v>19</v>
      </c>
      <c r="E114" s="8" t="s">
        <v>16</v>
      </c>
      <c r="F114" s="9">
        <v>36</v>
      </c>
      <c r="G114" s="9">
        <v>2001</v>
      </c>
      <c r="H114" s="10">
        <v>72036</v>
      </c>
      <c r="I114" s="11" t="str">
        <f t="shared" si="1"/>
        <v>April</v>
      </c>
    </row>
    <row r="115" spans="1:9" x14ac:dyDescent="0.35">
      <c r="A115" s="7">
        <v>44324</v>
      </c>
      <c r="B115" s="8" t="s">
        <v>17</v>
      </c>
      <c r="C115" s="8" t="s">
        <v>18</v>
      </c>
      <c r="D115" s="8" t="s">
        <v>31</v>
      </c>
      <c r="E115" s="8" t="s">
        <v>11</v>
      </c>
      <c r="F115" s="9">
        <v>30</v>
      </c>
      <c r="G115" s="9">
        <v>1080</v>
      </c>
      <c r="H115" s="10">
        <v>32400</v>
      </c>
      <c r="I115" s="11" t="str">
        <f t="shared" si="1"/>
        <v>May</v>
      </c>
    </row>
    <row r="116" spans="1:9" x14ac:dyDescent="0.35">
      <c r="A116" s="7">
        <v>44538</v>
      </c>
      <c r="B116" s="8" t="s">
        <v>23</v>
      </c>
      <c r="C116" s="8" t="s">
        <v>24</v>
      </c>
      <c r="D116" s="8" t="s">
        <v>19</v>
      </c>
      <c r="E116" s="8" t="s">
        <v>16</v>
      </c>
      <c r="F116" s="9">
        <v>40</v>
      </c>
      <c r="G116" s="9">
        <v>315</v>
      </c>
      <c r="H116" s="10">
        <v>12600</v>
      </c>
      <c r="I116" s="11" t="str">
        <f t="shared" si="1"/>
        <v>December</v>
      </c>
    </row>
    <row r="117" spans="1:9" x14ac:dyDescent="0.35">
      <c r="A117" s="7">
        <v>44455</v>
      </c>
      <c r="B117" s="8" t="s">
        <v>17</v>
      </c>
      <c r="C117" s="8" t="s">
        <v>18</v>
      </c>
      <c r="D117" s="8" t="s">
        <v>26</v>
      </c>
      <c r="E117" s="8" t="s">
        <v>27</v>
      </c>
      <c r="F117" s="9">
        <v>48</v>
      </c>
      <c r="G117" s="9">
        <v>1080</v>
      </c>
      <c r="H117" s="10">
        <v>51840</v>
      </c>
      <c r="I117" s="11" t="str">
        <f t="shared" si="1"/>
        <v>September</v>
      </c>
    </row>
    <row r="118" spans="1:9" x14ac:dyDescent="0.35">
      <c r="A118" s="7">
        <v>44440</v>
      </c>
      <c r="B118" s="8" t="s">
        <v>17</v>
      </c>
      <c r="C118" s="8" t="s">
        <v>18</v>
      </c>
      <c r="D118" s="8" t="s">
        <v>26</v>
      </c>
      <c r="E118" s="8" t="s">
        <v>27</v>
      </c>
      <c r="F118" s="9">
        <v>41</v>
      </c>
      <c r="G118" s="9">
        <v>1080</v>
      </c>
      <c r="H118" s="10">
        <v>44280</v>
      </c>
      <c r="I118" s="11" t="str">
        <f t="shared" si="1"/>
        <v>September</v>
      </c>
    </row>
    <row r="119" spans="1:9" x14ac:dyDescent="0.35">
      <c r="A119" s="7">
        <v>44338</v>
      </c>
      <c r="B119" s="8" t="s">
        <v>8</v>
      </c>
      <c r="C119" s="8" t="s">
        <v>9</v>
      </c>
      <c r="D119" s="8" t="s">
        <v>19</v>
      </c>
      <c r="E119" s="8" t="s">
        <v>16</v>
      </c>
      <c r="F119" s="9">
        <v>16</v>
      </c>
      <c r="G119" s="9">
        <v>790</v>
      </c>
      <c r="H119" s="10">
        <v>12640</v>
      </c>
      <c r="I119" s="11" t="str">
        <f t="shared" si="1"/>
        <v>May</v>
      </c>
    </row>
    <row r="120" spans="1:9" x14ac:dyDescent="0.35">
      <c r="A120" s="7">
        <v>44337</v>
      </c>
      <c r="B120" s="8" t="s">
        <v>8</v>
      </c>
      <c r="C120" s="8" t="s">
        <v>9</v>
      </c>
      <c r="D120" s="8" t="s">
        <v>30</v>
      </c>
      <c r="E120" s="8" t="s">
        <v>27</v>
      </c>
      <c r="F120" s="9">
        <v>19</v>
      </c>
      <c r="G120" s="9">
        <v>790</v>
      </c>
      <c r="H120" s="10">
        <v>15010</v>
      </c>
      <c r="I120" s="11" t="str">
        <f t="shared" si="1"/>
        <v>May</v>
      </c>
    </row>
    <row r="121" spans="1:9" x14ac:dyDescent="0.35">
      <c r="A121" s="7">
        <v>44317</v>
      </c>
      <c r="B121" s="8" t="s">
        <v>29</v>
      </c>
      <c r="C121" s="8" t="s">
        <v>24</v>
      </c>
      <c r="D121" s="8" t="s">
        <v>22</v>
      </c>
      <c r="E121" s="8" t="s">
        <v>21</v>
      </c>
      <c r="F121" s="9">
        <v>35</v>
      </c>
      <c r="G121" s="9">
        <v>75</v>
      </c>
      <c r="H121" s="10">
        <v>2625</v>
      </c>
      <c r="I121" s="11" t="str">
        <f t="shared" si="1"/>
        <v>May</v>
      </c>
    </row>
    <row r="122" spans="1:9" x14ac:dyDescent="0.35">
      <c r="A122" s="7">
        <v>44238</v>
      </c>
      <c r="B122" s="8" t="s">
        <v>17</v>
      </c>
      <c r="C122" s="8" t="s">
        <v>18</v>
      </c>
      <c r="D122" s="8" t="s">
        <v>12</v>
      </c>
      <c r="E122" s="8" t="s">
        <v>13</v>
      </c>
      <c r="F122" s="9">
        <v>25</v>
      </c>
      <c r="G122" s="9">
        <v>1080</v>
      </c>
      <c r="H122" s="10">
        <v>27000</v>
      </c>
      <c r="I122" s="11" t="str">
        <f t="shared" si="1"/>
        <v>February</v>
      </c>
    </row>
    <row r="123" spans="1:9" x14ac:dyDescent="0.35">
      <c r="A123" s="7">
        <v>44552</v>
      </c>
      <c r="B123" s="8" t="s">
        <v>25</v>
      </c>
      <c r="C123" s="8" t="s">
        <v>18</v>
      </c>
      <c r="D123" s="8" t="s">
        <v>12</v>
      </c>
      <c r="E123" s="8" t="s">
        <v>13</v>
      </c>
      <c r="F123" s="9">
        <v>27</v>
      </c>
      <c r="G123" s="9">
        <v>2001</v>
      </c>
      <c r="H123" s="10">
        <v>54027</v>
      </c>
      <c r="I123" s="11" t="str">
        <f t="shared" si="1"/>
        <v>December</v>
      </c>
    </row>
    <row r="124" spans="1:9" x14ac:dyDescent="0.35">
      <c r="A124" s="7">
        <v>44405</v>
      </c>
      <c r="B124" s="8" t="s">
        <v>23</v>
      </c>
      <c r="C124" s="8" t="s">
        <v>24</v>
      </c>
      <c r="D124" s="8" t="s">
        <v>22</v>
      </c>
      <c r="E124" s="8" t="s">
        <v>21</v>
      </c>
      <c r="F124" s="9">
        <v>4</v>
      </c>
      <c r="G124" s="9">
        <v>315</v>
      </c>
      <c r="H124" s="10">
        <v>1260</v>
      </c>
      <c r="I124" s="11" t="str">
        <f t="shared" si="1"/>
        <v>July</v>
      </c>
    </row>
    <row r="125" spans="1:9" x14ac:dyDescent="0.35">
      <c r="A125" s="7">
        <v>44302</v>
      </c>
      <c r="B125" s="8" t="s">
        <v>14</v>
      </c>
      <c r="C125" s="8" t="s">
        <v>9</v>
      </c>
      <c r="D125" s="8" t="s">
        <v>26</v>
      </c>
      <c r="E125" s="8" t="s">
        <v>27</v>
      </c>
      <c r="F125" s="9">
        <v>45</v>
      </c>
      <c r="G125" s="9">
        <v>1575</v>
      </c>
      <c r="H125" s="10">
        <v>70875</v>
      </c>
      <c r="I125" s="11" t="str">
        <f t="shared" si="1"/>
        <v>April</v>
      </c>
    </row>
    <row r="126" spans="1:9" x14ac:dyDescent="0.35">
      <c r="A126" s="7">
        <v>44207</v>
      </c>
      <c r="B126" s="8" t="s">
        <v>23</v>
      </c>
      <c r="C126" s="8" t="s">
        <v>24</v>
      </c>
      <c r="D126" s="8" t="s">
        <v>19</v>
      </c>
      <c r="E126" s="8" t="s">
        <v>16</v>
      </c>
      <c r="F126" s="9">
        <v>1</v>
      </c>
      <c r="G126" s="9">
        <v>315</v>
      </c>
      <c r="H126" s="10">
        <v>315</v>
      </c>
      <c r="I126" s="11" t="str">
        <f t="shared" si="1"/>
        <v>January</v>
      </c>
    </row>
    <row r="127" spans="1:9" x14ac:dyDescent="0.35">
      <c r="A127" s="7">
        <v>44377</v>
      </c>
      <c r="B127" s="8" t="s">
        <v>23</v>
      </c>
      <c r="C127" s="8" t="s">
        <v>24</v>
      </c>
      <c r="D127" s="8" t="s">
        <v>22</v>
      </c>
      <c r="E127" s="8" t="s">
        <v>21</v>
      </c>
      <c r="F127" s="9">
        <v>35</v>
      </c>
      <c r="G127" s="9">
        <v>315</v>
      </c>
      <c r="H127" s="10">
        <v>11025</v>
      </c>
      <c r="I127" s="11" t="str">
        <f t="shared" si="1"/>
        <v>June</v>
      </c>
    </row>
    <row r="128" spans="1:9" x14ac:dyDescent="0.35">
      <c r="A128" s="7">
        <v>44476</v>
      </c>
      <c r="B128" s="8" t="s">
        <v>23</v>
      </c>
      <c r="C128" s="8" t="s">
        <v>24</v>
      </c>
      <c r="D128" s="8" t="s">
        <v>15</v>
      </c>
      <c r="E128" s="8" t="s">
        <v>16</v>
      </c>
      <c r="F128" s="9">
        <v>15</v>
      </c>
      <c r="G128" s="9">
        <v>315</v>
      </c>
      <c r="H128" s="10">
        <v>4725</v>
      </c>
      <c r="I128" s="11" t="str">
        <f t="shared" si="1"/>
        <v>October</v>
      </c>
    </row>
    <row r="129" spans="1:9" x14ac:dyDescent="0.35">
      <c r="A129" s="7">
        <v>44336</v>
      </c>
      <c r="B129" s="8" t="s">
        <v>25</v>
      </c>
      <c r="C129" s="8" t="s">
        <v>18</v>
      </c>
      <c r="D129" s="8" t="s">
        <v>26</v>
      </c>
      <c r="E129" s="8" t="s">
        <v>27</v>
      </c>
      <c r="F129" s="9">
        <v>25</v>
      </c>
      <c r="G129" s="9">
        <v>2001</v>
      </c>
      <c r="H129" s="10">
        <v>50025</v>
      </c>
      <c r="I129" s="11" t="str">
        <f t="shared" si="1"/>
        <v>May</v>
      </c>
    </row>
    <row r="130" spans="1:9" x14ac:dyDescent="0.35">
      <c r="A130" s="7">
        <v>44369</v>
      </c>
      <c r="B130" s="8" t="s">
        <v>23</v>
      </c>
      <c r="C130" s="8" t="s">
        <v>24</v>
      </c>
      <c r="D130" s="8" t="s">
        <v>30</v>
      </c>
      <c r="E130" s="8" t="s">
        <v>27</v>
      </c>
      <c r="F130" s="9">
        <v>9</v>
      </c>
      <c r="G130" s="9">
        <v>315</v>
      </c>
      <c r="H130" s="10">
        <v>2835</v>
      </c>
      <c r="I130" s="11" t="str">
        <f t="shared" si="1"/>
        <v>June</v>
      </c>
    </row>
    <row r="131" spans="1:9" x14ac:dyDescent="0.35">
      <c r="A131" s="7">
        <v>44515</v>
      </c>
      <c r="B131" s="8" t="s">
        <v>23</v>
      </c>
      <c r="C131" s="8" t="s">
        <v>24</v>
      </c>
      <c r="D131" s="8" t="s">
        <v>15</v>
      </c>
      <c r="E131" s="8" t="s">
        <v>16</v>
      </c>
      <c r="F131" s="9">
        <v>38</v>
      </c>
      <c r="G131" s="9">
        <v>315</v>
      </c>
      <c r="H131" s="10">
        <v>11970</v>
      </c>
      <c r="I131" s="11" t="str">
        <f t="shared" ref="I131:I151" si="2">TEXT(A131,"mmmm")</f>
        <v>November</v>
      </c>
    </row>
    <row r="132" spans="1:9" x14ac:dyDescent="0.35">
      <c r="A132" s="7">
        <v>44485</v>
      </c>
      <c r="B132" s="8" t="s">
        <v>8</v>
      </c>
      <c r="C132" s="8" t="s">
        <v>9</v>
      </c>
      <c r="D132" s="8" t="s">
        <v>10</v>
      </c>
      <c r="E132" s="8" t="s">
        <v>11</v>
      </c>
      <c r="F132" s="9">
        <v>28</v>
      </c>
      <c r="G132" s="9">
        <v>790</v>
      </c>
      <c r="H132" s="10">
        <v>22120</v>
      </c>
      <c r="I132" s="11" t="str">
        <f t="shared" si="2"/>
        <v>October</v>
      </c>
    </row>
    <row r="133" spans="1:9" x14ac:dyDescent="0.35">
      <c r="A133" s="7">
        <v>44266</v>
      </c>
      <c r="B133" s="8" t="s">
        <v>25</v>
      </c>
      <c r="C133" s="8" t="s">
        <v>18</v>
      </c>
      <c r="D133" s="8" t="s">
        <v>30</v>
      </c>
      <c r="E133" s="8" t="s">
        <v>27</v>
      </c>
      <c r="F133" s="9">
        <v>17</v>
      </c>
      <c r="G133" s="9">
        <v>2001</v>
      </c>
      <c r="H133" s="10">
        <v>34017</v>
      </c>
      <c r="I133" s="11" t="str">
        <f t="shared" si="2"/>
        <v>March</v>
      </c>
    </row>
    <row r="134" spans="1:9" x14ac:dyDescent="0.35">
      <c r="A134" s="7">
        <v>44391</v>
      </c>
      <c r="B134" s="8" t="s">
        <v>23</v>
      </c>
      <c r="C134" s="8" t="s">
        <v>24</v>
      </c>
      <c r="D134" s="8" t="s">
        <v>20</v>
      </c>
      <c r="E134" s="8" t="s">
        <v>21</v>
      </c>
      <c r="F134" s="9">
        <v>21</v>
      </c>
      <c r="G134" s="9">
        <v>315</v>
      </c>
      <c r="H134" s="10">
        <v>6615</v>
      </c>
      <c r="I134" s="11" t="str">
        <f t="shared" si="2"/>
        <v>July</v>
      </c>
    </row>
    <row r="135" spans="1:9" x14ac:dyDescent="0.35">
      <c r="A135" s="7">
        <v>44369</v>
      </c>
      <c r="B135" s="8" t="s">
        <v>23</v>
      </c>
      <c r="C135" s="8" t="s">
        <v>24</v>
      </c>
      <c r="D135" s="8" t="s">
        <v>26</v>
      </c>
      <c r="E135" s="8" t="s">
        <v>27</v>
      </c>
      <c r="F135" s="9">
        <v>17</v>
      </c>
      <c r="G135" s="9">
        <v>315</v>
      </c>
      <c r="H135" s="10">
        <v>5355</v>
      </c>
      <c r="I135" s="11" t="str">
        <f t="shared" si="2"/>
        <v>June</v>
      </c>
    </row>
    <row r="136" spans="1:9" x14ac:dyDescent="0.35">
      <c r="A136" s="7">
        <v>44238</v>
      </c>
      <c r="B136" s="8" t="s">
        <v>8</v>
      </c>
      <c r="C136" s="8" t="s">
        <v>9</v>
      </c>
      <c r="D136" s="8" t="s">
        <v>30</v>
      </c>
      <c r="E136" s="8" t="s">
        <v>27</v>
      </c>
      <c r="F136" s="9">
        <v>35</v>
      </c>
      <c r="G136" s="9">
        <v>790</v>
      </c>
      <c r="H136" s="10">
        <v>27650</v>
      </c>
      <c r="I136" s="11" t="str">
        <f t="shared" si="2"/>
        <v>February</v>
      </c>
    </row>
    <row r="137" spans="1:9" x14ac:dyDescent="0.35">
      <c r="A137" s="7">
        <v>44223</v>
      </c>
      <c r="B137" s="8" t="s">
        <v>8</v>
      </c>
      <c r="C137" s="8" t="s">
        <v>9</v>
      </c>
      <c r="D137" s="8" t="s">
        <v>20</v>
      </c>
      <c r="E137" s="8" t="s">
        <v>21</v>
      </c>
      <c r="F137" s="9">
        <v>5</v>
      </c>
      <c r="G137" s="9">
        <v>790</v>
      </c>
      <c r="H137" s="10">
        <v>3950</v>
      </c>
      <c r="I137" s="11" t="str">
        <f t="shared" si="2"/>
        <v>January</v>
      </c>
    </row>
    <row r="138" spans="1:9" x14ac:dyDescent="0.35">
      <c r="A138" s="7">
        <v>44530</v>
      </c>
      <c r="B138" s="8" t="s">
        <v>17</v>
      </c>
      <c r="C138" s="8" t="s">
        <v>18</v>
      </c>
      <c r="D138" s="8" t="s">
        <v>10</v>
      </c>
      <c r="E138" s="8" t="s">
        <v>11</v>
      </c>
      <c r="F138" s="9">
        <v>13</v>
      </c>
      <c r="G138" s="9">
        <v>1080</v>
      </c>
      <c r="H138" s="10">
        <v>14040</v>
      </c>
      <c r="I138" s="11" t="str">
        <f t="shared" si="2"/>
        <v>November</v>
      </c>
    </row>
    <row r="139" spans="1:9" x14ac:dyDescent="0.35">
      <c r="A139" s="7">
        <v>44207</v>
      </c>
      <c r="B139" s="8" t="s">
        <v>17</v>
      </c>
      <c r="C139" s="8" t="s">
        <v>18</v>
      </c>
      <c r="D139" s="8" t="s">
        <v>15</v>
      </c>
      <c r="E139" s="8" t="s">
        <v>16</v>
      </c>
      <c r="F139" s="9">
        <v>9</v>
      </c>
      <c r="G139" s="9">
        <v>1080</v>
      </c>
      <c r="H139" s="10">
        <v>9720</v>
      </c>
      <c r="I139" s="11" t="str">
        <f t="shared" si="2"/>
        <v>January</v>
      </c>
    </row>
    <row r="140" spans="1:9" x14ac:dyDescent="0.35">
      <c r="A140" s="7">
        <v>44439</v>
      </c>
      <c r="B140" s="8" t="s">
        <v>23</v>
      </c>
      <c r="C140" s="8" t="s">
        <v>24</v>
      </c>
      <c r="D140" s="8" t="s">
        <v>10</v>
      </c>
      <c r="E140" s="8" t="s">
        <v>11</v>
      </c>
      <c r="F140" s="9">
        <v>45</v>
      </c>
      <c r="G140" s="9">
        <v>315</v>
      </c>
      <c r="H140" s="10">
        <v>14175</v>
      </c>
      <c r="I140" s="11" t="str">
        <f t="shared" si="2"/>
        <v>August</v>
      </c>
    </row>
    <row r="141" spans="1:9" x14ac:dyDescent="0.35">
      <c r="A141" s="7">
        <v>44328</v>
      </c>
      <c r="B141" s="8" t="s">
        <v>14</v>
      </c>
      <c r="C141" s="8" t="s">
        <v>9</v>
      </c>
      <c r="D141" s="8" t="s">
        <v>20</v>
      </c>
      <c r="E141" s="8" t="s">
        <v>21</v>
      </c>
      <c r="F141" s="9">
        <v>39</v>
      </c>
      <c r="G141" s="9">
        <v>1575</v>
      </c>
      <c r="H141" s="10">
        <v>61425</v>
      </c>
      <c r="I141" s="11" t="str">
        <f t="shared" si="2"/>
        <v>May</v>
      </c>
    </row>
    <row r="142" spans="1:9" x14ac:dyDescent="0.35">
      <c r="A142" s="7">
        <v>44255</v>
      </c>
      <c r="B142" s="8" t="s">
        <v>25</v>
      </c>
      <c r="C142" s="8" t="s">
        <v>18</v>
      </c>
      <c r="D142" s="8" t="s">
        <v>28</v>
      </c>
      <c r="E142" s="8" t="s">
        <v>13</v>
      </c>
      <c r="F142" s="9">
        <v>38</v>
      </c>
      <c r="G142" s="9">
        <v>2001</v>
      </c>
      <c r="H142" s="10">
        <v>76038</v>
      </c>
      <c r="I142" s="11" t="str">
        <f t="shared" si="2"/>
        <v>February</v>
      </c>
    </row>
    <row r="143" spans="1:9" x14ac:dyDescent="0.35">
      <c r="A143" s="7">
        <v>44210</v>
      </c>
      <c r="B143" s="8" t="s">
        <v>23</v>
      </c>
      <c r="C143" s="8" t="s">
        <v>24</v>
      </c>
      <c r="D143" s="8" t="s">
        <v>22</v>
      </c>
      <c r="E143" s="8" t="s">
        <v>21</v>
      </c>
      <c r="F143" s="9">
        <v>46</v>
      </c>
      <c r="G143" s="9">
        <v>315</v>
      </c>
      <c r="H143" s="10">
        <v>14490</v>
      </c>
      <c r="I143" s="11" t="str">
        <f t="shared" si="2"/>
        <v>January</v>
      </c>
    </row>
    <row r="144" spans="1:9" x14ac:dyDescent="0.35">
      <c r="A144" s="7">
        <v>44298</v>
      </c>
      <c r="B144" s="8" t="s">
        <v>25</v>
      </c>
      <c r="C144" s="8" t="s">
        <v>18</v>
      </c>
      <c r="D144" s="8" t="s">
        <v>10</v>
      </c>
      <c r="E144" s="8" t="s">
        <v>11</v>
      </c>
      <c r="F144" s="9">
        <v>45</v>
      </c>
      <c r="G144" s="9">
        <v>2001</v>
      </c>
      <c r="H144" s="10">
        <v>90045</v>
      </c>
      <c r="I144" s="11" t="str">
        <f t="shared" si="2"/>
        <v>April</v>
      </c>
    </row>
    <row r="145" spans="1:9" x14ac:dyDescent="0.35">
      <c r="A145" s="7">
        <v>44351</v>
      </c>
      <c r="B145" s="8" t="s">
        <v>14</v>
      </c>
      <c r="C145" s="8" t="s">
        <v>9</v>
      </c>
      <c r="D145" s="8" t="s">
        <v>15</v>
      </c>
      <c r="E145" s="8" t="s">
        <v>16</v>
      </c>
      <c r="F145" s="9">
        <v>3</v>
      </c>
      <c r="G145" s="9">
        <v>1575</v>
      </c>
      <c r="H145" s="10">
        <v>4725</v>
      </c>
      <c r="I145" s="11" t="str">
        <f t="shared" si="2"/>
        <v>June</v>
      </c>
    </row>
    <row r="146" spans="1:9" x14ac:dyDescent="0.35">
      <c r="A146" s="7">
        <v>44374</v>
      </c>
      <c r="B146" s="8" t="s">
        <v>8</v>
      </c>
      <c r="C146" s="8" t="s">
        <v>9</v>
      </c>
      <c r="D146" s="8" t="s">
        <v>19</v>
      </c>
      <c r="E146" s="8" t="s">
        <v>16</v>
      </c>
      <c r="F146" s="9">
        <v>24</v>
      </c>
      <c r="G146" s="9">
        <v>790</v>
      </c>
      <c r="H146" s="10">
        <v>18960</v>
      </c>
      <c r="I146" s="11" t="str">
        <f t="shared" si="2"/>
        <v>June</v>
      </c>
    </row>
    <row r="147" spans="1:9" x14ac:dyDescent="0.35">
      <c r="A147" s="7">
        <v>44232</v>
      </c>
      <c r="B147" s="8" t="s">
        <v>25</v>
      </c>
      <c r="C147" s="8" t="s">
        <v>18</v>
      </c>
      <c r="D147" s="8" t="s">
        <v>19</v>
      </c>
      <c r="E147" s="8" t="s">
        <v>16</v>
      </c>
      <c r="F147" s="9">
        <v>27</v>
      </c>
      <c r="G147" s="9">
        <v>2001</v>
      </c>
      <c r="H147" s="10">
        <v>54027</v>
      </c>
      <c r="I147" s="11" t="str">
        <f t="shared" si="2"/>
        <v>February</v>
      </c>
    </row>
    <row r="148" spans="1:9" x14ac:dyDescent="0.35">
      <c r="A148" s="7">
        <v>44447</v>
      </c>
      <c r="B148" s="8" t="s">
        <v>29</v>
      </c>
      <c r="C148" s="8" t="s">
        <v>24</v>
      </c>
      <c r="D148" s="8" t="s">
        <v>31</v>
      </c>
      <c r="E148" s="8" t="s">
        <v>11</v>
      </c>
      <c r="F148" s="9">
        <v>41</v>
      </c>
      <c r="G148" s="9">
        <v>75</v>
      </c>
      <c r="H148" s="10">
        <v>3075</v>
      </c>
      <c r="I148" s="11" t="str">
        <f t="shared" si="2"/>
        <v>September</v>
      </c>
    </row>
    <row r="149" spans="1:9" x14ac:dyDescent="0.35">
      <c r="A149" s="7">
        <v>44432</v>
      </c>
      <c r="B149" s="8" t="s">
        <v>17</v>
      </c>
      <c r="C149" s="8" t="s">
        <v>18</v>
      </c>
      <c r="D149" s="8" t="s">
        <v>28</v>
      </c>
      <c r="E149" s="8" t="s">
        <v>13</v>
      </c>
      <c r="F149" s="9">
        <v>47</v>
      </c>
      <c r="G149" s="9">
        <v>1080</v>
      </c>
      <c r="H149" s="10">
        <v>50760</v>
      </c>
      <c r="I149" s="11" t="str">
        <f t="shared" si="2"/>
        <v>August</v>
      </c>
    </row>
    <row r="150" spans="1:9" x14ac:dyDescent="0.35">
      <c r="A150" s="7">
        <v>44464</v>
      </c>
      <c r="B150" s="8" t="s">
        <v>23</v>
      </c>
      <c r="C150" s="8" t="s">
        <v>24</v>
      </c>
      <c r="D150" s="8" t="s">
        <v>22</v>
      </c>
      <c r="E150" s="8" t="s">
        <v>21</v>
      </c>
      <c r="F150" s="9">
        <v>28</v>
      </c>
      <c r="G150" s="9">
        <v>315</v>
      </c>
      <c r="H150" s="10">
        <v>8820</v>
      </c>
      <c r="I150" s="11" t="str">
        <f t="shared" si="2"/>
        <v>September</v>
      </c>
    </row>
    <row r="151" spans="1:9" x14ac:dyDescent="0.35">
      <c r="A151" s="7">
        <v>44500</v>
      </c>
      <c r="B151" s="8" t="s">
        <v>17</v>
      </c>
      <c r="C151" s="8" t="s">
        <v>18</v>
      </c>
      <c r="D151" s="8" t="s">
        <v>22</v>
      </c>
      <c r="E151" s="8" t="s">
        <v>21</v>
      </c>
      <c r="F151" s="9">
        <v>6</v>
      </c>
      <c r="G151" s="9">
        <v>1080</v>
      </c>
      <c r="H151" s="10">
        <v>6480</v>
      </c>
      <c r="I151" s="11" t="str">
        <f t="shared" si="2"/>
        <v>October</v>
      </c>
    </row>
  </sheetData>
  <autoFilter ref="A1:I15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Dashboards</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Tejal Pednekar</cp:lastModifiedBy>
  <dcterms:created xsi:type="dcterms:W3CDTF">2026-05-26T06:49:27Z</dcterms:created>
  <dcterms:modified xsi:type="dcterms:W3CDTF">2026-05-26T10:46:05Z</dcterms:modified>
</cp:coreProperties>
</file>